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lien\Google Drive\Alex Lee\Talos\Github\Spartan\BOM\"/>
    </mc:Choice>
  </mc:AlternateContent>
  <bookViews>
    <workbookView xWindow="0" yWindow="0" windowWidth="22305" windowHeight="11565"/>
  </bookViews>
  <sheets>
    <sheet name="BOM BY SUBASMB" sheetId="1" r:id="rId1"/>
    <sheet name="SUM OF ASMB PIVOT TABLE" sheetId="2" r:id="rId2"/>
  </sheets>
  <definedNames>
    <definedName name="_xlnm._FilterDatabase" localSheetId="0" hidden="1">'BOM BY SUBASMB'!$A$1:$J$165</definedName>
    <definedName name="Z_B361D788_4C34_4790_98D2_E12D78BAE772_.wvu.Cols" localSheetId="0" hidden="1">'BOM BY SUBASMB'!$I:$I</definedName>
  </definedNames>
  <calcPr calcId="152511"/>
  <customWorkbookViews>
    <customWorkbookView name="Eric Lien - Personal View" guid="{B361D788-4C34-4790-98D2-E12D78BAE772}" mergeInterval="0" personalView="1" maximized="1" xWindow="-8" yWindow="-8" windowWidth="1696" windowHeight="1026" activeSheetId="1"/>
    <customWorkbookView name="eclsnowman - Personal View" guid="{E84B877F-0E0B-494B-BD18-0D2BBF7D5FA6}" mergeInterval="0" personalView="1" maximized="1" xWindow="1912" yWindow="-8" windowWidth="1936" windowHeight="1096" activeSheetId="1"/>
  </customWorkbookViews>
  <pivotCaches>
    <pivotCache cacheId="2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0" i="1" l="1"/>
  <c r="J160" i="1" s="1"/>
  <c r="I161" i="1"/>
  <c r="J161" i="1" s="1"/>
  <c r="I162" i="1"/>
  <c r="J162" i="1" s="1"/>
  <c r="I163" i="1"/>
  <c r="J163" i="1" s="1"/>
  <c r="I164" i="1"/>
  <c r="J164" i="1" s="1"/>
  <c r="I165" i="1"/>
  <c r="J165" i="1" s="1"/>
  <c r="I159" i="1"/>
  <c r="J159" i="1" s="1"/>
  <c r="I151" i="1"/>
  <c r="J151" i="1" s="1"/>
  <c r="I152" i="1"/>
  <c r="J152" i="1" s="1"/>
  <c r="I153" i="1"/>
  <c r="J153" i="1" s="1"/>
  <c r="I154" i="1"/>
  <c r="J154" i="1" s="1"/>
  <c r="I155" i="1"/>
  <c r="J155" i="1" s="1"/>
  <c r="I156" i="1"/>
  <c r="J156" i="1" s="1"/>
  <c r="I157" i="1"/>
  <c r="J157" i="1" s="1"/>
  <c r="I150" i="1"/>
  <c r="J150" i="1" s="1"/>
  <c r="I144" i="1"/>
  <c r="J144" i="1" s="1"/>
  <c r="I145" i="1"/>
  <c r="J145" i="1" s="1"/>
  <c r="I146" i="1"/>
  <c r="J146" i="1" s="1"/>
  <c r="I147" i="1"/>
  <c r="J147" i="1" s="1"/>
  <c r="I148" i="1"/>
  <c r="J148" i="1" s="1"/>
  <c r="I143" i="1"/>
  <c r="J143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41" i="1"/>
  <c r="J141" i="1" s="1"/>
  <c r="I132" i="1"/>
  <c r="J132" i="1" s="1"/>
  <c r="I124" i="1"/>
  <c r="J124" i="1" s="1"/>
  <c r="I125" i="1"/>
  <c r="J125" i="1" s="1"/>
  <c r="I126" i="1"/>
  <c r="J126" i="1" s="1"/>
  <c r="I127" i="1"/>
  <c r="J127" i="1" s="1"/>
  <c r="I128" i="1"/>
  <c r="J128" i="1" s="1"/>
  <c r="I129" i="1"/>
  <c r="J129" i="1" s="1"/>
  <c r="I130" i="1"/>
  <c r="J130" i="1" s="1"/>
  <c r="I123" i="1"/>
  <c r="J123" i="1" s="1"/>
  <c r="I118" i="1"/>
  <c r="J118" i="1" s="1"/>
  <c r="I119" i="1"/>
  <c r="J119" i="1" s="1"/>
  <c r="I120" i="1"/>
  <c r="J120" i="1" s="1"/>
  <c r="I121" i="1"/>
  <c r="J121" i="1"/>
  <c r="I117" i="1"/>
  <c r="J117" i="1" s="1"/>
  <c r="I111" i="1"/>
  <c r="J111" i="1" s="1"/>
  <c r="I112" i="1"/>
  <c r="J112" i="1" s="1"/>
  <c r="I113" i="1"/>
  <c r="J113" i="1" s="1"/>
  <c r="I114" i="1"/>
  <c r="J114" i="1" s="1"/>
  <c r="I115" i="1"/>
  <c r="J115" i="1" s="1"/>
  <c r="I110" i="1"/>
  <c r="J11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0" i="1"/>
  <c r="J100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84" i="1"/>
  <c r="J84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61" i="1"/>
  <c r="J61" i="1" s="1"/>
  <c r="J52" i="1"/>
  <c r="J53" i="1"/>
  <c r="J54" i="1"/>
  <c r="J55" i="1"/>
  <c r="J56" i="1"/>
  <c r="J57" i="1"/>
  <c r="J58" i="1"/>
  <c r="J59" i="1"/>
  <c r="J51" i="1"/>
  <c r="J39" i="1"/>
  <c r="J40" i="1"/>
  <c r="J41" i="1"/>
  <c r="J42" i="1"/>
  <c r="J43" i="1"/>
  <c r="J44" i="1"/>
  <c r="J45" i="1"/>
  <c r="J46" i="1"/>
  <c r="J47" i="1"/>
  <c r="J48" i="1"/>
  <c r="J49" i="1"/>
  <c r="J38" i="1"/>
  <c r="J32" i="1"/>
  <c r="J31" i="1"/>
  <c r="J33" i="1"/>
  <c r="J34" i="1"/>
  <c r="J35" i="1"/>
  <c r="J36" i="1"/>
  <c r="I29" i="1"/>
  <c r="J29" i="1" s="1"/>
  <c r="I25" i="1"/>
  <c r="J25" i="1" s="1"/>
  <c r="I26" i="1"/>
  <c r="J26" i="1" s="1"/>
  <c r="I27" i="1"/>
  <c r="J27" i="1" s="1"/>
  <c r="I24" i="1"/>
  <c r="J24" i="1" s="1"/>
  <c r="I19" i="1"/>
  <c r="J19" i="1" s="1"/>
  <c r="I20" i="1"/>
  <c r="J20" i="1" s="1"/>
  <c r="I21" i="1"/>
  <c r="J21" i="1" s="1"/>
  <c r="I22" i="1"/>
  <c r="J22" i="1" s="1"/>
  <c r="I18" i="1"/>
  <c r="J18" i="1" s="1"/>
  <c r="I15" i="1"/>
  <c r="J15" i="1" s="1"/>
  <c r="I16" i="1"/>
  <c r="J16" i="1" s="1"/>
  <c r="I11" i="1"/>
  <c r="J11" i="1" s="1"/>
  <c r="I12" i="1"/>
  <c r="J12" i="1" s="1"/>
  <c r="I14" i="1"/>
  <c r="J14" i="1" s="1"/>
  <c r="I10" i="1"/>
  <c r="J10" i="1" s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</calcChain>
</file>

<file path=xl/comments1.xml><?xml version="1.0" encoding="utf-8"?>
<comments xmlns="http://schemas.openxmlformats.org/spreadsheetml/2006/main">
  <authors>
    <author>Eric Lien</author>
  </authors>
  <commentList>
    <comment ref="G1" authorId="0" shapeId="0">
      <text>
        <r>
          <rPr>
            <sz val="9"/>
            <color indexed="81"/>
            <rFont val="Tahoma"/>
            <family val="2"/>
          </rPr>
          <t xml:space="preserve">TOTAL QTY OF THIS SUBASSEMBLY IN THE PRINTER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QTY OF THIS PART IN THE SUB ASSEMBLY
</t>
        </r>
      </text>
    </comment>
  </commentList>
</comments>
</file>

<file path=xl/sharedStrings.xml><?xml version="1.0" encoding="utf-8"?>
<sst xmlns="http://schemas.openxmlformats.org/spreadsheetml/2006/main" count="530" uniqueCount="284">
  <si>
    <t>PART NUMBER</t>
  </si>
  <si>
    <t>DESCRIPTION</t>
  </si>
  <si>
    <t>Frame</t>
  </si>
  <si>
    <t>Corner Bracket ASMB</t>
  </si>
  <si>
    <t>Low Profile Screw M5 x 10</t>
  </si>
  <si>
    <t>Low Profile Screw M5 x 8</t>
  </si>
  <si>
    <t>Side Panel ASMB</t>
  </si>
  <si>
    <t>Top Motor Plate ASMB</t>
  </si>
  <si>
    <t>Low Profile Screw M5 x 20</t>
  </si>
  <si>
    <t>6.2.1</t>
  </si>
  <si>
    <t>6.2.2</t>
  </si>
  <si>
    <t>6.2.3</t>
  </si>
  <si>
    <t>6.2.4</t>
  </si>
  <si>
    <t>6.2.5</t>
  </si>
  <si>
    <t>6.2.6</t>
  </si>
  <si>
    <t>Lower Bracket ASMB</t>
  </si>
  <si>
    <t>Gantry ASMB</t>
  </si>
  <si>
    <t>Low Profile Screw M5 x 25</t>
  </si>
  <si>
    <r>
      <t xml:space="preserve">Button Head Socket Cap Screw M3 </t>
    </r>
    <r>
      <rPr>
        <sz val="12"/>
        <color theme="1"/>
        <rFont val="SWGDT"/>
      </rPr>
      <t xml:space="preserve">
</t>
    </r>
    <r>
      <rPr>
        <sz val="12"/>
        <color theme="1"/>
        <rFont val="Century Gothic"/>
        <family val="2"/>
      </rPr>
      <t>x 12</t>
    </r>
  </si>
  <si>
    <t>Low Profile Screw M5 x 30</t>
  </si>
  <si>
    <t>X_Carriage_Universal</t>
  </si>
  <si>
    <t>New Y Axis Motor Drive</t>
  </si>
  <si>
    <t>Y Front Idler</t>
  </si>
  <si>
    <t>Y Plate ASMB</t>
  </si>
  <si>
    <t>Power_Supply ASMB</t>
  </si>
  <si>
    <t>Controler_Assembly</t>
  </si>
  <si>
    <t>Low Profile Screw M5 x 45</t>
  </si>
  <si>
    <t>SUB-ASMB NAME</t>
  </si>
  <si>
    <t>ASMB QTY:</t>
  </si>
  <si>
    <t>URL LINK</t>
  </si>
  <si>
    <t>Gantry Plate ASMB</t>
  </si>
  <si>
    <t>Solid V Wheel</t>
  </si>
  <si>
    <t>M5 x 25</t>
  </si>
  <si>
    <t>M5 x 20</t>
  </si>
  <si>
    <t>M5 x 8</t>
  </si>
  <si>
    <t>M3 x 12</t>
  </si>
  <si>
    <t>40MM_NEMA17</t>
  </si>
  <si>
    <t>Smooth Idler</t>
  </si>
  <si>
    <r>
      <t xml:space="preserve">Leadscrew </t>
    </r>
    <r>
      <rPr>
        <sz val="12"/>
        <color theme="1"/>
        <rFont val="Century Gothic"/>
        <family val="2"/>
      </rPr>
      <t>Nut</t>
    </r>
  </si>
  <si>
    <t>Tee Nut</t>
  </si>
  <si>
    <r>
      <t xml:space="preserve">Lead Screw Plate </t>
    </r>
    <r>
      <rPr>
        <sz val="12"/>
        <color theme="1"/>
        <rFont val="Century Gothic"/>
        <family val="2"/>
      </rPr>
      <t>With Motor ASMB</t>
    </r>
  </si>
  <si>
    <r>
      <t xml:space="preserve">Lead Screw Plate </t>
    </r>
    <r>
      <rPr>
        <sz val="12"/>
        <color theme="1"/>
        <rFont val="Century Gothic"/>
        <family val="2"/>
      </rPr>
      <t>with Motor</t>
    </r>
  </si>
  <si>
    <t>MAIN SUB-ASMB</t>
  </si>
  <si>
    <t>SUB-ASMB (.X)</t>
  </si>
  <si>
    <t>SUB-ASMB (.X.X)</t>
  </si>
  <si>
    <t>QTY PER SUB-ASMB</t>
  </si>
  <si>
    <t>QTY PER SUB-ASMB (.X)</t>
  </si>
  <si>
    <t>M3 x 8</t>
  </si>
  <si>
    <t>M5 x 30</t>
  </si>
  <si>
    <r>
      <t xml:space="preserve">Precision Shim 10 x 5 </t>
    </r>
    <r>
      <rPr>
        <sz val="12"/>
        <color theme="1"/>
        <rFont val="Century Gothic"/>
        <family val="2"/>
      </rPr>
      <t>x 1</t>
    </r>
  </si>
  <si>
    <r>
      <t xml:space="preserve">Button Head Socket Cap Screw M3 </t>
    </r>
    <r>
      <rPr>
        <sz val="12"/>
        <color theme="1"/>
        <rFont val="Century Gothic"/>
        <family val="2"/>
      </rPr>
      <t>x 8</t>
    </r>
  </si>
  <si>
    <t>Gantry Plate</t>
  </si>
  <si>
    <t>CNC Cut Aluminum Plate</t>
  </si>
  <si>
    <t>Openbuilds Delrin Wheel Assembly</t>
  </si>
  <si>
    <t>M5 x 10</t>
  </si>
  <si>
    <t>Z-NEMA17</t>
  </si>
  <si>
    <t>Top Motor Plate</t>
  </si>
  <si>
    <t>Corner Bracket</t>
  </si>
  <si>
    <t>V-slot 20x80x400</t>
  </si>
  <si>
    <t>V-slot 20x60x370</t>
  </si>
  <si>
    <t>V-slot 20x20x340</t>
  </si>
  <si>
    <t>V-slot 20x20x370</t>
  </si>
  <si>
    <t>V-slot 20x20x360</t>
  </si>
  <si>
    <t>V-slot 20x20x400</t>
  </si>
  <si>
    <t>6.3.1</t>
  </si>
  <si>
    <t>6.3.2</t>
  </si>
  <si>
    <t>6.3.3</t>
  </si>
  <si>
    <t>6.3.4</t>
  </si>
  <si>
    <t>6.3.5</t>
  </si>
  <si>
    <t>6.3.6</t>
  </si>
  <si>
    <t>6.3.7</t>
  </si>
  <si>
    <t>6.3.8</t>
  </si>
  <si>
    <t>6.3.9</t>
  </si>
  <si>
    <t>6.3.10</t>
  </si>
  <si>
    <t>6.3.11</t>
  </si>
  <si>
    <t>6.3.12</t>
  </si>
  <si>
    <t>6.4.1</t>
  </si>
  <si>
    <t>6.4.2</t>
  </si>
  <si>
    <t>6.4.3</t>
  </si>
  <si>
    <t>6.4.4</t>
  </si>
  <si>
    <t>6.4.5</t>
  </si>
  <si>
    <t>6.4.6</t>
  </si>
  <si>
    <t>6.4.7</t>
  </si>
  <si>
    <t>6.4.8</t>
  </si>
  <si>
    <t>6.4.9</t>
  </si>
  <si>
    <t>Side Panel Plate</t>
  </si>
  <si>
    <t>Lower Bracket Plate</t>
  </si>
  <si>
    <t>Nema17 with Integrated Leadscrew</t>
  </si>
  <si>
    <t>V-Slot 20x40x360 X-Gantry</t>
  </si>
  <si>
    <t>1/4" Aluminum Spacer</t>
  </si>
  <si>
    <t>Nema17 (40mm Long)</t>
  </si>
  <si>
    <t>Openbuilds Delrin Smooth Idler Assembly</t>
  </si>
  <si>
    <t>Precision Shim 10 x 5 x 1</t>
  </si>
  <si>
    <r>
      <t xml:space="preserve">GT2 Timing Pulley 20 </t>
    </r>
    <r>
      <rPr>
        <sz val="12"/>
        <color theme="1"/>
        <rFont val="Century Gothic"/>
        <family val="2"/>
      </rPr>
      <t>Tooth</t>
    </r>
  </si>
  <si>
    <t>GT2 Timing Pulley 20 Tooth</t>
  </si>
  <si>
    <t>Lead Screw Plate (Idler)</t>
  </si>
  <si>
    <t>Delrin Mini V Wheel</t>
  </si>
  <si>
    <t>Openbuilds Delrin Mini Wheel Assembly</t>
  </si>
  <si>
    <r>
      <t>Shim 10 x 5 x 0.2</t>
    </r>
    <r>
      <rPr>
        <sz val="12"/>
        <color theme="1"/>
        <rFont val="SWGDT"/>
      </rPr>
      <t/>
    </r>
  </si>
  <si>
    <t>Belt Connector Body</t>
  </si>
  <si>
    <t>Belt Connector</t>
  </si>
  <si>
    <t>Printed Part</t>
  </si>
  <si>
    <t>M3 x 10</t>
  </si>
  <si>
    <t>Inductive Level Probe</t>
  </si>
  <si>
    <t>4020Blower</t>
  </si>
  <si>
    <t>E3D All Metal Hotend</t>
  </si>
  <si>
    <t>Bondtech Mini</t>
  </si>
  <si>
    <t>Hotend Retainer Clip</t>
  </si>
  <si>
    <t>30x30_Fan (from E3D Hotend Kit)</t>
  </si>
  <si>
    <r>
      <t xml:space="preserve">Part Cooling Fan </t>
    </r>
    <r>
      <rPr>
        <sz val="12"/>
        <color theme="1"/>
        <rFont val="Century Gothic"/>
        <family val="2"/>
      </rPr>
      <t>Discharge Duct</t>
    </r>
  </si>
  <si>
    <t>Probe Mount</t>
  </si>
  <si>
    <t>M3 Hex Nut</t>
  </si>
  <si>
    <t>M3 Nylon Insert Lock Nut</t>
  </si>
  <si>
    <r>
      <t xml:space="preserve">Button Head Socket Cap Screw M3 </t>
    </r>
    <r>
      <rPr>
        <sz val="12"/>
        <color theme="1"/>
        <rFont val="Century Gothic"/>
        <family val="2"/>
      </rPr>
      <t>x 12</t>
    </r>
  </si>
  <si>
    <t>30x30 Fan</t>
  </si>
  <si>
    <t>Bondtech Mini Extruder Drive</t>
  </si>
  <si>
    <t>40x40x20 Blower Fan</t>
  </si>
  <si>
    <r>
      <t xml:space="preserve">Button Head Socket Cap Screw M3 </t>
    </r>
    <r>
      <rPr>
        <sz val="12"/>
        <color theme="1"/>
        <rFont val="Century Gothic"/>
        <family val="2"/>
      </rPr>
      <t>x 10</t>
    </r>
  </si>
  <si>
    <t>Shim 10 x 5 x 0.2</t>
  </si>
  <si>
    <t>Eccentric Spacer 6mm</t>
  </si>
  <si>
    <t>7.1</t>
  </si>
  <si>
    <t>7.2</t>
  </si>
  <si>
    <t>7.3</t>
  </si>
  <si>
    <t>7.4</t>
  </si>
  <si>
    <t>7.5</t>
  </si>
  <si>
    <t>7.6</t>
  </si>
  <si>
    <t>7.7</t>
  </si>
  <si>
    <t>7.8</t>
  </si>
  <si>
    <t>7.9</t>
  </si>
  <si>
    <t>7.10</t>
  </si>
  <si>
    <t>7.11</t>
  </si>
  <si>
    <t>7.12</t>
  </si>
  <si>
    <t>7.13</t>
  </si>
  <si>
    <t>7.14</t>
  </si>
  <si>
    <t>7.15</t>
  </si>
  <si>
    <t>7.16</t>
  </si>
  <si>
    <t>7.17</t>
  </si>
  <si>
    <t>7.18</t>
  </si>
  <si>
    <t>7.19</t>
  </si>
  <si>
    <t>7.20</t>
  </si>
  <si>
    <t>7.21</t>
  </si>
  <si>
    <t>7.22</t>
  </si>
  <si>
    <t>X Carriage Universal Plate</t>
  </si>
  <si>
    <t>HB Mounting Plate</t>
  </si>
  <si>
    <t>Eccentric Spacer 1/4"</t>
  </si>
  <si>
    <r>
      <t xml:space="preserve">MK3 Aluminum </t>
    </r>
    <r>
      <rPr>
        <sz val="12"/>
        <color theme="1"/>
        <rFont val="Century Gothic"/>
        <family val="2"/>
      </rPr>
      <t>Heated Bed</t>
    </r>
  </si>
  <si>
    <t>Bed Spring (Mcmaster 9657K275)</t>
  </si>
  <si>
    <t>Spring OD .36", Wire 0.041", Length 0.5"</t>
  </si>
  <si>
    <t>M3 Oversized Washer (91116A120)</t>
  </si>
  <si>
    <t>M3 Flat Washer (91116A120)</t>
  </si>
  <si>
    <t>Nut Knob</t>
  </si>
  <si>
    <t>Y Belt Clip</t>
  </si>
  <si>
    <t>1/4" Eccentric Spacer</t>
  </si>
  <si>
    <t>Aluminum Spacer 1/4"</t>
  </si>
  <si>
    <t>8</t>
  </si>
  <si>
    <t>8.1</t>
  </si>
  <si>
    <t>8.2</t>
  </si>
  <si>
    <t>8.3</t>
  </si>
  <si>
    <t>8.4</t>
  </si>
  <si>
    <t>8.5</t>
  </si>
  <si>
    <t>8.6</t>
  </si>
  <si>
    <t>8.7</t>
  </si>
  <si>
    <t>8.8</t>
  </si>
  <si>
    <t>8.9</t>
  </si>
  <si>
    <t>8.10</t>
  </si>
  <si>
    <t>8.11</t>
  </si>
  <si>
    <t>8.12</t>
  </si>
  <si>
    <t>8.13</t>
  </si>
  <si>
    <t>8.14</t>
  </si>
  <si>
    <t>8.15</t>
  </si>
  <si>
    <t>Heated Bed and Carriage</t>
  </si>
  <si>
    <t>Lead Screw Plate With Idler ASMB</t>
  </si>
  <si>
    <r>
      <t xml:space="preserve">Precision Shim 10 x 5 x </t>
    </r>
    <r>
      <rPr>
        <sz val="12"/>
        <color theme="1"/>
        <rFont val="Century Gothic"/>
        <family val="2"/>
      </rPr>
      <t>1</t>
    </r>
  </si>
  <si>
    <t>M5 Oversized Washer (91100A140)</t>
  </si>
  <si>
    <t>9.1</t>
  </si>
  <si>
    <t>9.2</t>
  </si>
  <si>
    <t>9.3</t>
  </si>
  <si>
    <t>9.4</t>
  </si>
  <si>
    <t>9.5</t>
  </si>
  <si>
    <t>9.6</t>
  </si>
  <si>
    <t>9.7</t>
  </si>
  <si>
    <t>9.8</t>
  </si>
  <si>
    <t>9.9</t>
  </si>
  <si>
    <t>Y Motor Mount Plate</t>
  </si>
  <si>
    <t>1/8" Aluminum Spacer</t>
  </si>
  <si>
    <t>10.1</t>
  </si>
  <si>
    <t>10.2</t>
  </si>
  <si>
    <t>10.3</t>
  </si>
  <si>
    <t>10.4</t>
  </si>
  <si>
    <t>10.5</t>
  </si>
  <si>
    <t>10.6</t>
  </si>
  <si>
    <t>14</t>
  </si>
  <si>
    <t>11</t>
  </si>
  <si>
    <t>Y Front Plate</t>
  </si>
  <si>
    <t>11.1</t>
  </si>
  <si>
    <t>11.2</t>
  </si>
  <si>
    <t>11.3</t>
  </si>
  <si>
    <t>11.4</t>
  </si>
  <si>
    <t>11.5</t>
  </si>
  <si>
    <t>Cast Corner Bracket</t>
  </si>
  <si>
    <t>12</t>
  </si>
  <si>
    <r>
      <t>360W_12V_Powersuppl</t>
    </r>
    <r>
      <rPr>
        <sz val="12"/>
        <color theme="1"/>
        <rFont val="Century Gothic"/>
        <family val="2"/>
      </rPr>
      <t>y</t>
    </r>
  </si>
  <si>
    <t>Printed or Machined part</t>
  </si>
  <si>
    <t>PSU Holder</t>
  </si>
  <si>
    <t>M4 x 6mm</t>
  </si>
  <si>
    <t>Wiring Safety Cover</t>
  </si>
  <si>
    <t>Electrical Fused Plug</t>
  </si>
  <si>
    <t>Switching Power Supply</t>
  </si>
  <si>
    <t>Buttonhead M4 x 6mm Long</t>
  </si>
  <si>
    <t>Plug/Switch/Fuse Module</t>
  </si>
  <si>
    <t>12.1</t>
  </si>
  <si>
    <t>12.2</t>
  </si>
  <si>
    <t>12.3</t>
  </si>
  <si>
    <t>12.4</t>
  </si>
  <si>
    <t>12.5</t>
  </si>
  <si>
    <t>12.6</t>
  </si>
  <si>
    <t>12.7</t>
  </si>
  <si>
    <t>12.8</t>
  </si>
  <si>
    <t>ATX-12V-4-Pin Plug or Jumper</t>
  </si>
  <si>
    <t>GT2560 Case - Top</t>
  </si>
  <si>
    <t>GT2560 Case - Bottom</t>
  </si>
  <si>
    <t>Geeetech_GT2560</t>
  </si>
  <si>
    <t>Geeetech GT2560 Printer Control Board</t>
  </si>
  <si>
    <t>Printed part</t>
  </si>
  <si>
    <t>Power Plug to Power Board</t>
  </si>
  <si>
    <t>40x40x10 Cooling Fan</t>
  </si>
  <si>
    <t>13</t>
  </si>
  <si>
    <t>13.1</t>
  </si>
  <si>
    <t>13.2</t>
  </si>
  <si>
    <t>13.3</t>
  </si>
  <si>
    <t>13.4</t>
  </si>
  <si>
    <t>13.5</t>
  </si>
  <si>
    <t>13.6</t>
  </si>
  <si>
    <t>13.7</t>
  </si>
  <si>
    <t>13.8</t>
  </si>
  <si>
    <t>13.9</t>
  </si>
  <si>
    <t>13.10</t>
  </si>
  <si>
    <t>Geetech_GT2560_LCD_Box_ASMB</t>
  </si>
  <si>
    <t>14.1</t>
  </si>
  <si>
    <t>14.2</t>
  </si>
  <si>
    <t>14.3</t>
  </si>
  <si>
    <t>14.4</t>
  </si>
  <si>
    <t>14.5</t>
  </si>
  <si>
    <t>14.6</t>
  </si>
  <si>
    <t>LCD Controller</t>
  </si>
  <si>
    <r>
      <t>Geetech_GT2560_LCD</t>
    </r>
    <r>
      <rPr>
        <sz val="12"/>
        <color theme="1"/>
        <rFont val="Century Gothic"/>
        <family val="2"/>
      </rPr>
      <t>_Front_Cover</t>
    </r>
  </si>
  <si>
    <r>
      <t>Geetech_GT2560_LCD</t>
    </r>
    <r>
      <rPr>
        <sz val="12"/>
        <color theme="1"/>
        <rFont val="Century Gothic"/>
        <family val="2"/>
      </rPr>
      <t>_Back_Cover</t>
    </r>
  </si>
  <si>
    <t>Geetech_GT2560_LCD</t>
  </si>
  <si>
    <t>15</t>
  </si>
  <si>
    <t>15.1</t>
  </si>
  <si>
    <t>15.2</t>
  </si>
  <si>
    <t>15.3</t>
  </si>
  <si>
    <t>15.4</t>
  </si>
  <si>
    <t>15.5</t>
  </si>
  <si>
    <t>15.6</t>
  </si>
  <si>
    <t>15.7</t>
  </si>
  <si>
    <t>15.8</t>
  </si>
  <si>
    <t>Spool Holder (Fixed Side)</t>
  </si>
  <si>
    <r>
      <t xml:space="preserve">Nylon Insert Lock Nut </t>
    </r>
    <r>
      <rPr>
        <sz val="12"/>
        <color theme="1"/>
        <rFont val="Century Gothic"/>
        <family val="2"/>
      </rPr>
      <t>M5</t>
    </r>
  </si>
  <si>
    <t>16</t>
  </si>
  <si>
    <t>16.1</t>
  </si>
  <si>
    <t>16.2</t>
  </si>
  <si>
    <t>16.3</t>
  </si>
  <si>
    <t>16.4</t>
  </si>
  <si>
    <t>16.5</t>
  </si>
  <si>
    <t>16.6</t>
  </si>
  <si>
    <t>16.7</t>
  </si>
  <si>
    <t>Spool Holder (Floating Side)</t>
  </si>
  <si>
    <t>M5 x 45</t>
  </si>
  <si>
    <t>QTY</t>
  </si>
  <si>
    <t>360W_12V_Powersupply</t>
  </si>
  <si>
    <t>Geetech_GT2560_LCD_Back_Cover</t>
  </si>
  <si>
    <t>Geetech_GT2560_LCD_Front_Cover</t>
  </si>
  <si>
    <t>Lead Screw Plate with Motor</t>
  </si>
  <si>
    <t>Leadscrew Nut</t>
  </si>
  <si>
    <t>MK3 Aluminum Heated Bed</t>
  </si>
  <si>
    <t>Nylon Insert Lock Nut M5</t>
  </si>
  <si>
    <t>Part Cooling Fan Discharge Duct</t>
  </si>
  <si>
    <t>(blank)</t>
  </si>
  <si>
    <t>Grand Total</t>
  </si>
  <si>
    <t>(All)</t>
  </si>
  <si>
    <t>QTY Per Printer</t>
  </si>
  <si>
    <t>Aluminum Spacer 1/8"</t>
  </si>
  <si>
    <t>PART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</si>
</sst>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2"/>
      <color theme="1"/>
      <name val="SWGDT"/>
    </font>
    <font>
      <b/>
      <sz val="12"/>
      <color theme="0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0" fontId="1" fillId="2" borderId="4" xfId="0" applyFont="1" applyFill="1" applyBorder="1" applyAlignment="1">
      <alignment horizontal="left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8" xfId="0" applyBorder="1"/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 vertical="center" wrapText="1"/>
    </xf>
    <xf numFmtId="0" fontId="0" fillId="0" borderId="11" xfId="0" applyBorder="1"/>
    <xf numFmtId="0" fontId="1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left" vertical="center" wrapText="1"/>
    </xf>
    <xf numFmtId="0" fontId="0" fillId="0" borderId="12" xfId="0" applyBorder="1"/>
    <xf numFmtId="0" fontId="1" fillId="2" borderId="13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1" fillId="2" borderId="14" xfId="0" applyFont="1" applyFill="1" applyBorder="1" applyAlignment="1">
      <alignment horizontal="left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" xfId="0" applyFont="1" applyBorder="1" applyAlignment="1">
      <alignment horizontal="left" vertical="center" wrapText="1" indent="2"/>
    </xf>
    <xf numFmtId="49" fontId="0" fillId="2" borderId="14" xfId="0" applyNumberFormat="1" applyFill="1" applyBorder="1" applyAlignment="1">
      <alignment horizontal="center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12" xfId="0" applyNumberFormat="1" applyFont="1" applyBorder="1" applyAlignment="1">
      <alignment horizontal="center" vertical="center" wrapText="1"/>
    </xf>
    <xf numFmtId="49" fontId="0" fillId="2" borderId="4" xfId="0" applyNumberForma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0" borderId="12" xfId="0" applyFont="1" applyBorder="1" applyAlignment="1">
      <alignment horizontal="left" vertical="center" wrapText="1" indent="2"/>
    </xf>
    <xf numFmtId="49" fontId="1" fillId="0" borderId="9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3" fillId="4" borderId="16" xfId="0" applyFont="1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1" fillId="3" borderId="7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ric Lien" refreshedDate="42318.525038078704" createdVersion="5" refreshedVersion="5" minRefreshableVersion="3" recordCount="164">
  <cacheSource type="worksheet">
    <worksheetSource ref="A1:J165" sheet="BOM BY SUBASMB"/>
  </cacheSource>
  <cacheFields count="10">
    <cacheField name="MAIN SUB-ASMB" numFmtId="0">
      <sharedItems containsBlank="1" containsMixedTypes="1" containsNumber="1" containsInteger="1" minValue="1" maxValue="10"/>
    </cacheField>
    <cacheField name="SUB-ASMB (.X)" numFmtId="49">
      <sharedItems containsBlank="1" containsMixedTypes="1" containsNumber="1" minValue="1.1000000000000001" maxValue="6.4"/>
    </cacheField>
    <cacheField name="SUB-ASMB (.X.X)" numFmtId="0">
      <sharedItems containsBlank="1"/>
    </cacheField>
    <cacheField name="SUB-ASMB NAME" numFmtId="0">
      <sharedItems containsBlank="1"/>
    </cacheField>
    <cacheField name="PART NUMBER" numFmtId="0">
      <sharedItems containsBlank="1" count="79">
        <m/>
        <s v="V-slot 20x80x400"/>
        <s v="V-slot 20x60x370"/>
        <s v="V-slot 20x20x340"/>
        <s v="V-slot 20x20x370"/>
        <s v="V-slot 20x20x360"/>
        <s v="V-slot 20x20x400"/>
        <s v="Corner Bracket"/>
        <s v="M5 x 8"/>
        <s v="Tee Nut"/>
        <s v="Side Panel Plate"/>
        <s v="Top Motor Plate"/>
        <s v="Z-NEMA17"/>
        <s v="M5 x 20"/>
        <s v="Lower Bracket Plate"/>
        <s v="V-Slot 20x40x360 X-Gantry"/>
        <s v="Gantry Plate"/>
        <s v="Solid V Wheel"/>
        <s v="Eccentric Spacer 1/4&quot;"/>
        <s v="Aluminum Spacer 1/4&quot;"/>
        <s v="M5 x 25"/>
        <s v="Lead Screw Plate with Motor"/>
        <s v="M3 x 12"/>
        <s v="40MM_NEMA17"/>
        <s v="Smooth Idler"/>
        <s v="Precision Shim 10 x 5 x 1"/>
        <s v="GT2 Timing Pulley 20 Tooth"/>
        <s v="Leadscrew Nut"/>
        <s v="M3 x 8"/>
        <s v="Lead Screw Plate (Idler)"/>
        <s v="M5 x 30"/>
        <s v="X Carriage Universal Plate"/>
        <s v="Delrin Mini V Wheel"/>
        <s v="Shim 10 x 5 x 0.2"/>
        <s v="M3 Hex Nut"/>
        <s v="M3 Nylon Insert Lock Nut"/>
        <s v="Inductive Level Probe"/>
        <s v="4020Blower"/>
        <s v="E3D All Metal Hotend"/>
        <s v="Bondtech Mini"/>
        <s v="30x30_Fan (from E3D Hotend Kit)"/>
        <s v="M3 x 10"/>
        <s v="Part Cooling Fan Discharge Duct"/>
        <s v="Hotend Retainer Clip"/>
        <s v="Belt Connector Body"/>
        <s v="Belt Connector"/>
        <s v="Probe Mount"/>
        <s v="HB Mounting Plate"/>
        <s v="MK3 Aluminum Heated Bed"/>
        <s v="Bed Spring (Mcmaster 9657K275)"/>
        <s v="M3 Oversized Washer (91116A120)"/>
        <s v="M3 Flat Washer (91116A120)"/>
        <s v="Nut Knob"/>
        <s v="Y Belt Clip"/>
        <s v="Y Motor Mount Plate"/>
        <s v="Aluminum Spacer 1/8&quot;"/>
        <s v="M5 Oversized Washer (91100A140)"/>
        <s v="Y Front Plate"/>
        <s v="Cast Corner Bracket"/>
        <s v="360W_12V_Powersupply"/>
        <s v="PSU Holder"/>
        <s v="M4 x 6mm"/>
        <s v="Wiring Safety Cover"/>
        <s v="Electrical Fused Plug"/>
        <s v="M5 x 10"/>
        <s v="GT2560 Case - Bottom"/>
        <s v="GT2560 Case - Top"/>
        <s v="Geeetech_GT2560"/>
        <s v="ATX-12V-4-Pin Plug or Jumper"/>
        <s v="40x40x10 Cooling Fan"/>
        <s v="Geetech_GT2560_LCD"/>
        <s v="Geetech_GT2560_LCD_Front_Cover"/>
        <s v="Geetech_GT2560_LCD_Back_Cover"/>
        <s v="Nylon Insert Lock Nut M5"/>
        <s v="M5 x 45"/>
        <s v="Eccentric Spacer 6mm" u="1"/>
        <s v="Aluminum Spacer" u="1"/>
        <s v="Button Head Socket Cap Screw M3" u="1"/>
        <s v="Aluminum Spacer .125in" u="1"/>
      </sharedItems>
    </cacheField>
    <cacheField name="DESCRIPTION" numFmtId="0">
      <sharedItems containsBlank="1" count="55">
        <m/>
        <s v="V-slot 20x80x400"/>
        <s v="V-slot 20x60x370"/>
        <s v="V-slot 20x20x340"/>
        <s v="V-slot 20x20x370"/>
        <s v="V-slot 20x20x360"/>
        <s v="V-slot 20x20x400"/>
        <s v="CNC Cut Aluminum Plate"/>
        <s v="Low Profile Screw M5 x 8"/>
        <s v="Tee Nut"/>
        <s v="Nema17 with Integrated Leadscrew"/>
        <s v="Low Profile Screw M5 x 20"/>
        <s v="Openbuilds Delrin Wheel Assembly"/>
        <s v="1/4&quot; Eccentric Spacer"/>
        <s v="1/4&quot; Aluminum Spacer"/>
        <s v="Low Profile Screw M5 x 25"/>
        <s v="Button Head Socket Cap Screw M3 _x000a_x 12"/>
        <s v="Nema17 (40mm Long)"/>
        <s v="Openbuilds Delrin Smooth Idler Assembly"/>
        <s v="Precision Shim 10 x 5 x 1"/>
        <s v="GT2 Timing Pulley 20 Tooth"/>
        <s v="Leadscrew Nut"/>
        <s v="Button Head Socket Cap Screw M3 x 8"/>
        <s v="Low Profile Screw M5 x 30"/>
        <s v="Openbuilds Delrin Mini Wheel Assembly"/>
        <s v="Eccentric Spacer 6mm"/>
        <s v="Shim 10 x 5 x 0.2"/>
        <s v="M3 Hex Nut"/>
        <s v="M3 Nylon Insert Lock Nut"/>
        <s v="Inductive Level Probe"/>
        <s v="40x40x20 Blower Fan"/>
        <s v="E3D All Metal Hotend"/>
        <s v="Bondtech Mini Extruder Drive"/>
        <s v="30x30 Fan"/>
        <s v="Button Head Socket Cap Screw M3 x 10"/>
        <s v="Button Head Socket Cap Screw M3 x 12"/>
        <s v="Printed Part"/>
        <s v="MK3 Aluminum Heated Bed"/>
        <s v="Spring OD .36&quot;, Wire 0.041&quot;, Length 0.5&quot;"/>
        <s v="M3 Oversized Washer (91116A120)"/>
        <s v="M3 Flat Washer (91116A120)"/>
        <s v="1/8&quot; Aluminum Spacer"/>
        <s v="M5 Oversized Washer (91100A140)"/>
        <s v="Cast Corner Bracket"/>
        <s v="Switching Power Supply"/>
        <s v="Printed or Machined part"/>
        <s v="Buttonhead M4 x 6mm Long"/>
        <s v="Plug/Switch/Fuse Module"/>
        <s v="Low Profile Screw M5 x 10"/>
        <s v="Geeetech GT2560 Printer Control Board"/>
        <s v="Power Plug to Power Board"/>
        <s v="40x40x10 Cooling Fan"/>
        <s v="LCD Controller"/>
        <s v="Nylon Insert Lock Nut M5"/>
        <s v="Low Profile Screw M5 x 45"/>
      </sharedItems>
    </cacheField>
    <cacheField name="ASMB QTY:" numFmtId="0">
      <sharedItems containsString="0" containsBlank="1" containsNumber="1" containsInteger="1" minValue="1" maxValue="4"/>
    </cacheField>
    <cacheField name="QTY PER SUB-ASMB" numFmtId="0">
      <sharedItems containsString="0" containsBlank="1" containsNumber="1" containsInteger="1" minValue="1" maxValue="10"/>
    </cacheField>
    <cacheField name="QTY PER SUB-ASMB (.X)" numFmtId="0">
      <sharedItems containsString="0" containsBlank="1" containsNumber="1" containsInteger="1" minValue="1" maxValue="20"/>
    </cacheField>
    <cacheField name="QTY" numFmtId="0">
      <sharedItems containsString="0" containsBlank="1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">
  <r>
    <n v="1"/>
    <m/>
    <m/>
    <s v="Frame"/>
    <x v="0"/>
    <x v="0"/>
    <n v="1"/>
    <m/>
    <m/>
    <m/>
  </r>
  <r>
    <m/>
    <n v="1.1000000000000001"/>
    <m/>
    <m/>
    <x v="1"/>
    <x v="1"/>
    <m/>
    <n v="2"/>
    <n v="2"/>
    <n v="2"/>
  </r>
  <r>
    <m/>
    <n v="1.2"/>
    <m/>
    <m/>
    <x v="2"/>
    <x v="2"/>
    <m/>
    <n v="2"/>
    <n v="2"/>
    <n v="2"/>
  </r>
  <r>
    <m/>
    <n v="1.3"/>
    <m/>
    <m/>
    <x v="3"/>
    <x v="3"/>
    <m/>
    <n v="4"/>
    <n v="4"/>
    <n v="4"/>
  </r>
  <r>
    <m/>
    <n v="1.4"/>
    <m/>
    <m/>
    <x v="4"/>
    <x v="4"/>
    <m/>
    <n v="2"/>
    <n v="2"/>
    <n v="2"/>
  </r>
  <r>
    <m/>
    <n v="1.5"/>
    <m/>
    <m/>
    <x v="5"/>
    <x v="5"/>
    <m/>
    <n v="2"/>
    <n v="2"/>
    <n v="2"/>
  </r>
  <r>
    <m/>
    <n v="1.6"/>
    <m/>
    <m/>
    <x v="6"/>
    <x v="6"/>
    <m/>
    <n v="2"/>
    <n v="2"/>
    <n v="2"/>
  </r>
  <r>
    <n v="2"/>
    <m/>
    <m/>
    <s v="Corner Bracket ASMB"/>
    <x v="0"/>
    <x v="0"/>
    <n v="4"/>
    <m/>
    <m/>
    <m/>
  </r>
  <r>
    <m/>
    <n v="2.1"/>
    <m/>
    <m/>
    <x v="7"/>
    <x v="7"/>
    <m/>
    <n v="1"/>
    <n v="4"/>
    <n v="4"/>
  </r>
  <r>
    <m/>
    <n v="2.2000000000000002"/>
    <m/>
    <m/>
    <x v="8"/>
    <x v="8"/>
    <m/>
    <n v="5"/>
    <n v="20"/>
    <n v="20"/>
  </r>
  <r>
    <m/>
    <n v="2.2999999999999998"/>
    <m/>
    <m/>
    <x v="9"/>
    <x v="9"/>
    <m/>
    <n v="5"/>
    <n v="20"/>
    <n v="20"/>
  </r>
  <r>
    <n v="3"/>
    <m/>
    <m/>
    <s v="Side Panel ASMB"/>
    <x v="0"/>
    <x v="0"/>
    <n v="2"/>
    <m/>
    <m/>
    <m/>
  </r>
  <r>
    <m/>
    <n v="3.1"/>
    <m/>
    <m/>
    <x v="10"/>
    <x v="7"/>
    <m/>
    <n v="1"/>
    <n v="2"/>
    <n v="2"/>
  </r>
  <r>
    <m/>
    <n v="3.2"/>
    <m/>
    <m/>
    <x v="8"/>
    <x v="8"/>
    <m/>
    <n v="8"/>
    <n v="16"/>
    <n v="16"/>
  </r>
  <r>
    <m/>
    <n v="3.3"/>
    <m/>
    <m/>
    <x v="9"/>
    <x v="9"/>
    <m/>
    <n v="8"/>
    <n v="16"/>
    <n v="16"/>
  </r>
  <r>
    <n v="4"/>
    <m/>
    <m/>
    <s v="Top Motor Plate ASMB"/>
    <x v="0"/>
    <x v="0"/>
    <n v="2"/>
    <m/>
    <m/>
    <m/>
  </r>
  <r>
    <m/>
    <n v="4.0999999999999996"/>
    <m/>
    <m/>
    <x v="11"/>
    <x v="7"/>
    <m/>
    <n v="1"/>
    <n v="2"/>
    <n v="2"/>
  </r>
  <r>
    <m/>
    <n v="4.2"/>
    <m/>
    <m/>
    <x v="12"/>
    <x v="10"/>
    <m/>
    <n v="1"/>
    <n v="2"/>
    <n v="2"/>
  </r>
  <r>
    <m/>
    <n v="4.3"/>
    <m/>
    <m/>
    <x v="8"/>
    <x v="8"/>
    <m/>
    <n v="4"/>
    <n v="8"/>
    <n v="8"/>
  </r>
  <r>
    <m/>
    <n v="4.4000000000000004"/>
    <m/>
    <m/>
    <x v="13"/>
    <x v="11"/>
    <m/>
    <n v="2"/>
    <n v="4"/>
    <n v="4"/>
  </r>
  <r>
    <m/>
    <n v="4.5"/>
    <m/>
    <m/>
    <x v="9"/>
    <x v="9"/>
    <m/>
    <n v="4"/>
    <n v="8"/>
    <n v="8"/>
  </r>
  <r>
    <n v="5"/>
    <m/>
    <m/>
    <s v="Lower Bracket ASMB"/>
    <x v="0"/>
    <x v="0"/>
    <n v="4"/>
    <m/>
    <m/>
    <m/>
  </r>
  <r>
    <m/>
    <n v="5.0999999999999996"/>
    <m/>
    <m/>
    <x v="14"/>
    <x v="7"/>
    <m/>
    <n v="1"/>
    <n v="4"/>
    <n v="4"/>
  </r>
  <r>
    <m/>
    <n v="5.2"/>
    <m/>
    <m/>
    <x v="13"/>
    <x v="11"/>
    <m/>
    <n v="4"/>
    <n v="16"/>
    <n v="16"/>
  </r>
  <r>
    <m/>
    <n v="5.3"/>
    <m/>
    <m/>
    <x v="8"/>
    <x v="8"/>
    <m/>
    <n v="3"/>
    <n v="12"/>
    <n v="12"/>
  </r>
  <r>
    <m/>
    <n v="5.4"/>
    <m/>
    <m/>
    <x v="9"/>
    <x v="9"/>
    <m/>
    <n v="3"/>
    <n v="12"/>
    <n v="12"/>
  </r>
  <r>
    <n v="6"/>
    <m/>
    <m/>
    <s v="Gantry ASMB"/>
    <x v="0"/>
    <x v="0"/>
    <n v="1"/>
    <m/>
    <m/>
    <m/>
  </r>
  <r>
    <m/>
    <n v="6.1"/>
    <m/>
    <m/>
    <x v="15"/>
    <x v="5"/>
    <m/>
    <n v="1"/>
    <n v="1"/>
    <n v="1"/>
  </r>
  <r>
    <m/>
    <n v="6.2"/>
    <m/>
    <s v="Gantry Plate ASMB"/>
    <x v="0"/>
    <x v="0"/>
    <m/>
    <n v="2"/>
    <m/>
    <m/>
  </r>
  <r>
    <m/>
    <m/>
    <s v="6.2.1"/>
    <m/>
    <x v="16"/>
    <x v="7"/>
    <m/>
    <m/>
    <n v="1"/>
    <n v="2"/>
  </r>
  <r>
    <m/>
    <m/>
    <s v="6.2.2"/>
    <m/>
    <x v="17"/>
    <x v="12"/>
    <m/>
    <m/>
    <n v="3"/>
    <n v="6"/>
  </r>
  <r>
    <m/>
    <m/>
    <s v="6.2.3"/>
    <m/>
    <x v="18"/>
    <x v="13"/>
    <m/>
    <m/>
    <n v="1"/>
    <n v="2"/>
  </r>
  <r>
    <m/>
    <m/>
    <s v="6.2.4"/>
    <m/>
    <x v="19"/>
    <x v="14"/>
    <m/>
    <m/>
    <n v="2"/>
    <n v="4"/>
  </r>
  <r>
    <m/>
    <m/>
    <s v="6.2.5"/>
    <m/>
    <x v="20"/>
    <x v="15"/>
    <m/>
    <m/>
    <n v="3"/>
    <n v="6"/>
  </r>
  <r>
    <m/>
    <m/>
    <s v="6.2.6"/>
    <m/>
    <x v="13"/>
    <x v="11"/>
    <m/>
    <m/>
    <n v="2"/>
    <n v="4"/>
  </r>
  <r>
    <m/>
    <n v="6.3"/>
    <m/>
    <s v="Lead Screw Plate With Motor ASMB"/>
    <x v="0"/>
    <x v="0"/>
    <m/>
    <n v="1"/>
    <m/>
    <m/>
  </r>
  <r>
    <m/>
    <m/>
    <s v="6.3.1"/>
    <m/>
    <x v="21"/>
    <x v="7"/>
    <m/>
    <m/>
    <n v="1"/>
    <n v="1"/>
  </r>
  <r>
    <m/>
    <m/>
    <s v="6.3.2"/>
    <m/>
    <x v="8"/>
    <x v="8"/>
    <m/>
    <m/>
    <n v="1"/>
    <n v="1"/>
  </r>
  <r>
    <m/>
    <m/>
    <s v="6.3.3"/>
    <m/>
    <x v="22"/>
    <x v="16"/>
    <m/>
    <m/>
    <n v="4"/>
    <n v="4"/>
  </r>
  <r>
    <m/>
    <m/>
    <s v="6.3.4"/>
    <m/>
    <x v="23"/>
    <x v="17"/>
    <m/>
    <m/>
    <n v="1"/>
    <n v="1"/>
  </r>
  <r>
    <m/>
    <m/>
    <s v="6.3.5"/>
    <m/>
    <x v="24"/>
    <x v="18"/>
    <m/>
    <m/>
    <n v="1"/>
    <n v="1"/>
  </r>
  <r>
    <m/>
    <m/>
    <s v="6.3.6"/>
    <m/>
    <x v="25"/>
    <x v="19"/>
    <m/>
    <m/>
    <n v="2"/>
    <n v="2"/>
  </r>
  <r>
    <m/>
    <m/>
    <s v="6.3.7"/>
    <m/>
    <x v="20"/>
    <x v="15"/>
    <m/>
    <m/>
    <n v="1"/>
    <n v="1"/>
  </r>
  <r>
    <m/>
    <m/>
    <s v="6.3.8"/>
    <m/>
    <x v="19"/>
    <x v="14"/>
    <m/>
    <m/>
    <n v="1"/>
    <n v="1"/>
  </r>
  <r>
    <m/>
    <m/>
    <s v="6.3.9"/>
    <m/>
    <x v="9"/>
    <x v="9"/>
    <m/>
    <m/>
    <n v="2"/>
    <n v="2"/>
  </r>
  <r>
    <m/>
    <m/>
    <s v="6.3.10"/>
    <m/>
    <x v="26"/>
    <x v="20"/>
    <m/>
    <m/>
    <n v="1"/>
    <n v="1"/>
  </r>
  <r>
    <m/>
    <m/>
    <s v="6.3.11"/>
    <m/>
    <x v="27"/>
    <x v="21"/>
    <m/>
    <m/>
    <n v="1"/>
    <n v="1"/>
  </r>
  <r>
    <m/>
    <m/>
    <s v="6.3.12"/>
    <m/>
    <x v="28"/>
    <x v="22"/>
    <m/>
    <m/>
    <n v="3"/>
    <n v="3"/>
  </r>
  <r>
    <m/>
    <n v="6.4"/>
    <m/>
    <s v="Lead Screw Plate With Idler ASMB"/>
    <x v="0"/>
    <x v="0"/>
    <m/>
    <n v="1"/>
    <m/>
    <m/>
  </r>
  <r>
    <m/>
    <m/>
    <s v="6.4.1"/>
    <m/>
    <x v="29"/>
    <x v="7"/>
    <m/>
    <m/>
    <n v="1"/>
    <n v="1"/>
  </r>
  <r>
    <m/>
    <m/>
    <s v="6.4.2"/>
    <m/>
    <x v="30"/>
    <x v="23"/>
    <m/>
    <m/>
    <n v="1"/>
    <n v="1"/>
  </r>
  <r>
    <m/>
    <m/>
    <s v="6.4.3"/>
    <m/>
    <x v="8"/>
    <x v="8"/>
    <m/>
    <m/>
    <n v="1"/>
    <n v="1"/>
  </r>
  <r>
    <m/>
    <m/>
    <s v="6.4.4"/>
    <m/>
    <x v="9"/>
    <x v="9"/>
    <m/>
    <m/>
    <n v="2"/>
    <n v="2"/>
  </r>
  <r>
    <m/>
    <m/>
    <s v="6.4.5"/>
    <m/>
    <x v="24"/>
    <x v="18"/>
    <m/>
    <m/>
    <n v="1"/>
    <n v="1"/>
  </r>
  <r>
    <m/>
    <m/>
    <s v="6.4.6"/>
    <m/>
    <x v="25"/>
    <x v="19"/>
    <m/>
    <m/>
    <n v="2"/>
    <n v="2"/>
  </r>
  <r>
    <m/>
    <m/>
    <s v="6.4.7"/>
    <m/>
    <x v="19"/>
    <x v="14"/>
    <m/>
    <m/>
    <n v="1"/>
    <n v="1"/>
  </r>
  <r>
    <m/>
    <m/>
    <s v="6.4.8"/>
    <m/>
    <x v="27"/>
    <x v="21"/>
    <m/>
    <m/>
    <n v="1"/>
    <n v="1"/>
  </r>
  <r>
    <m/>
    <m/>
    <s v="6.4.9"/>
    <m/>
    <x v="28"/>
    <x v="22"/>
    <m/>
    <m/>
    <n v="3"/>
    <n v="3"/>
  </r>
  <r>
    <n v="7"/>
    <m/>
    <m/>
    <s v="X_Carriage_Universal"/>
    <x v="0"/>
    <x v="0"/>
    <n v="1"/>
    <m/>
    <m/>
    <m/>
  </r>
  <r>
    <m/>
    <s v="7.1"/>
    <m/>
    <m/>
    <x v="31"/>
    <x v="7"/>
    <m/>
    <n v="1"/>
    <n v="1"/>
    <n v="1"/>
  </r>
  <r>
    <m/>
    <s v="7.2"/>
    <m/>
    <m/>
    <x v="32"/>
    <x v="24"/>
    <m/>
    <n v="2"/>
    <n v="2"/>
    <n v="2"/>
  </r>
  <r>
    <m/>
    <s v="7.3"/>
    <m/>
    <m/>
    <x v="19"/>
    <x v="14"/>
    <m/>
    <n v="2"/>
    <n v="2"/>
    <n v="2"/>
  </r>
  <r>
    <m/>
    <s v="7.4"/>
    <m/>
    <m/>
    <x v="20"/>
    <x v="15"/>
    <m/>
    <n v="3"/>
    <n v="3"/>
    <n v="3"/>
  </r>
  <r>
    <m/>
    <s v="7.5"/>
    <m/>
    <m/>
    <x v="17"/>
    <x v="12"/>
    <m/>
    <n v="1"/>
    <n v="1"/>
    <n v="1"/>
  </r>
  <r>
    <m/>
    <s v="7.6"/>
    <m/>
    <m/>
    <x v="18"/>
    <x v="25"/>
    <m/>
    <n v="1"/>
    <n v="1"/>
    <n v="1"/>
  </r>
  <r>
    <m/>
    <s v="7.7"/>
    <m/>
    <m/>
    <x v="33"/>
    <x v="26"/>
    <m/>
    <n v="1"/>
    <n v="1"/>
    <n v="1"/>
  </r>
  <r>
    <m/>
    <s v="7.8"/>
    <m/>
    <m/>
    <x v="34"/>
    <x v="27"/>
    <m/>
    <n v="6"/>
    <n v="6"/>
    <n v="6"/>
  </r>
  <r>
    <m/>
    <s v="7.9"/>
    <m/>
    <m/>
    <x v="35"/>
    <x v="28"/>
    <m/>
    <n v="2"/>
    <n v="2"/>
    <n v="2"/>
  </r>
  <r>
    <m/>
    <s v="7.10"/>
    <m/>
    <m/>
    <x v="36"/>
    <x v="29"/>
    <m/>
    <n v="1"/>
    <n v="1"/>
    <n v="1"/>
  </r>
  <r>
    <m/>
    <s v="7.11"/>
    <m/>
    <m/>
    <x v="37"/>
    <x v="30"/>
    <m/>
    <n v="1"/>
    <n v="1"/>
    <n v="1"/>
  </r>
  <r>
    <m/>
    <s v="7.12"/>
    <m/>
    <m/>
    <x v="38"/>
    <x v="31"/>
    <m/>
    <n v="1"/>
    <n v="1"/>
    <n v="1"/>
  </r>
  <r>
    <m/>
    <s v="7.13"/>
    <m/>
    <m/>
    <x v="39"/>
    <x v="32"/>
    <m/>
    <n v="1"/>
    <n v="1"/>
    <n v="1"/>
  </r>
  <r>
    <m/>
    <s v="7.14"/>
    <m/>
    <m/>
    <x v="40"/>
    <x v="33"/>
    <m/>
    <n v="1"/>
    <n v="1"/>
    <n v="1"/>
  </r>
  <r>
    <m/>
    <s v="7.15"/>
    <m/>
    <m/>
    <x v="28"/>
    <x v="22"/>
    <m/>
    <n v="4"/>
    <n v="4"/>
    <n v="4"/>
  </r>
  <r>
    <m/>
    <s v="7.16"/>
    <m/>
    <m/>
    <x v="41"/>
    <x v="34"/>
    <m/>
    <n v="2"/>
    <n v="2"/>
    <n v="2"/>
  </r>
  <r>
    <m/>
    <s v="7.17"/>
    <m/>
    <m/>
    <x v="22"/>
    <x v="35"/>
    <m/>
    <n v="10"/>
    <n v="10"/>
    <n v="10"/>
  </r>
  <r>
    <m/>
    <s v="7.18"/>
    <m/>
    <m/>
    <x v="42"/>
    <x v="36"/>
    <m/>
    <n v="1"/>
    <n v="1"/>
    <n v="1"/>
  </r>
  <r>
    <m/>
    <s v="7.19"/>
    <m/>
    <m/>
    <x v="43"/>
    <x v="36"/>
    <m/>
    <n v="1"/>
    <n v="1"/>
    <n v="1"/>
  </r>
  <r>
    <m/>
    <s v="7.20"/>
    <m/>
    <m/>
    <x v="44"/>
    <x v="36"/>
    <m/>
    <n v="1"/>
    <n v="1"/>
    <n v="1"/>
  </r>
  <r>
    <m/>
    <s v="7.21"/>
    <m/>
    <m/>
    <x v="45"/>
    <x v="36"/>
    <m/>
    <n v="1"/>
    <n v="1"/>
    <n v="1"/>
  </r>
  <r>
    <m/>
    <s v="7.22"/>
    <m/>
    <m/>
    <x v="46"/>
    <x v="36"/>
    <m/>
    <n v="1"/>
    <n v="1"/>
    <n v="1"/>
  </r>
  <r>
    <s v="8"/>
    <m/>
    <m/>
    <s v="Heated Bed and Carriage"/>
    <x v="0"/>
    <x v="0"/>
    <n v="1"/>
    <m/>
    <m/>
    <m/>
  </r>
  <r>
    <m/>
    <s v="8.1"/>
    <m/>
    <m/>
    <x v="47"/>
    <x v="7"/>
    <m/>
    <n v="1"/>
    <n v="1"/>
    <n v="1"/>
  </r>
  <r>
    <m/>
    <s v="8.2"/>
    <m/>
    <m/>
    <x v="17"/>
    <x v="12"/>
    <m/>
    <n v="4"/>
    <n v="4"/>
    <n v="4"/>
  </r>
  <r>
    <m/>
    <s v="8.3"/>
    <m/>
    <m/>
    <x v="18"/>
    <x v="13"/>
    <m/>
    <n v="2"/>
    <n v="2"/>
    <n v="2"/>
  </r>
  <r>
    <m/>
    <s v="8.4"/>
    <m/>
    <m/>
    <x v="19"/>
    <x v="14"/>
    <m/>
    <n v="2"/>
    <n v="2"/>
    <n v="2"/>
  </r>
  <r>
    <m/>
    <s v="8.5"/>
    <m/>
    <m/>
    <x v="30"/>
    <x v="23"/>
    <m/>
    <n v="4"/>
    <n v="4"/>
    <n v="4"/>
  </r>
  <r>
    <m/>
    <s v="8.6"/>
    <m/>
    <m/>
    <x v="48"/>
    <x v="37"/>
    <m/>
    <n v="1"/>
    <n v="1"/>
    <n v="1"/>
  </r>
  <r>
    <m/>
    <s v="8.7"/>
    <m/>
    <m/>
    <x v="35"/>
    <x v="28"/>
    <m/>
    <n v="7"/>
    <n v="7"/>
    <n v="7"/>
  </r>
  <r>
    <m/>
    <s v="8.8"/>
    <m/>
    <m/>
    <x v="28"/>
    <x v="22"/>
    <m/>
    <n v="4"/>
    <n v="4"/>
    <n v="4"/>
  </r>
  <r>
    <m/>
    <s v="8.9"/>
    <m/>
    <m/>
    <x v="49"/>
    <x v="38"/>
    <m/>
    <n v="4"/>
    <n v="4"/>
    <n v="4"/>
  </r>
  <r>
    <m/>
    <s v="8.10"/>
    <m/>
    <m/>
    <x v="50"/>
    <x v="39"/>
    <m/>
    <n v="4"/>
    <n v="4"/>
    <n v="4"/>
  </r>
  <r>
    <m/>
    <s v="8.11"/>
    <m/>
    <m/>
    <x v="51"/>
    <x v="40"/>
    <m/>
    <n v="4"/>
    <n v="4"/>
    <n v="4"/>
  </r>
  <r>
    <m/>
    <s v="8.12"/>
    <m/>
    <m/>
    <x v="52"/>
    <x v="7"/>
    <m/>
    <n v="4"/>
    <n v="4"/>
    <n v="4"/>
  </r>
  <r>
    <m/>
    <s v="8.13"/>
    <m/>
    <m/>
    <x v="34"/>
    <x v="27"/>
    <m/>
    <n v="4"/>
    <n v="4"/>
    <n v="4"/>
  </r>
  <r>
    <m/>
    <s v="8.14"/>
    <m/>
    <m/>
    <x v="53"/>
    <x v="36"/>
    <m/>
    <n v="1"/>
    <n v="1"/>
    <n v="1"/>
  </r>
  <r>
    <m/>
    <s v="8.15"/>
    <m/>
    <m/>
    <x v="22"/>
    <x v="35"/>
    <m/>
    <n v="3"/>
    <n v="3"/>
    <n v="3"/>
  </r>
  <r>
    <n v="9"/>
    <m/>
    <m/>
    <s v="New Y Axis Motor Drive"/>
    <x v="0"/>
    <x v="0"/>
    <n v="1"/>
    <m/>
    <m/>
    <m/>
  </r>
  <r>
    <m/>
    <s v="9.1"/>
    <m/>
    <m/>
    <x v="54"/>
    <x v="7"/>
    <m/>
    <n v="1"/>
    <n v="1"/>
    <n v="1"/>
  </r>
  <r>
    <m/>
    <s v="9.2"/>
    <m/>
    <m/>
    <x v="23"/>
    <x v="17"/>
    <m/>
    <n v="1"/>
    <n v="1"/>
    <n v="1"/>
  </r>
  <r>
    <m/>
    <s v="9.3"/>
    <m/>
    <m/>
    <x v="41"/>
    <x v="34"/>
    <m/>
    <n v="4"/>
    <n v="4"/>
    <n v="4"/>
  </r>
  <r>
    <m/>
    <s v="9.4"/>
    <m/>
    <m/>
    <x v="20"/>
    <x v="15"/>
    <m/>
    <n v="1"/>
    <n v="1"/>
    <n v="1"/>
  </r>
  <r>
    <m/>
    <s v="9.5"/>
    <m/>
    <m/>
    <x v="8"/>
    <x v="8"/>
    <m/>
    <n v="1"/>
    <n v="1"/>
    <n v="1"/>
  </r>
  <r>
    <m/>
    <s v="9.6"/>
    <m/>
    <m/>
    <x v="9"/>
    <x v="9"/>
    <m/>
    <n v="2"/>
    <n v="2"/>
    <n v="2"/>
  </r>
  <r>
    <m/>
    <s v="9.7"/>
    <m/>
    <m/>
    <x v="26"/>
    <x v="20"/>
    <m/>
    <n v="1"/>
    <n v="1"/>
    <n v="1"/>
  </r>
  <r>
    <m/>
    <s v="9.8"/>
    <m/>
    <m/>
    <x v="24"/>
    <x v="18"/>
    <m/>
    <n v="1"/>
    <n v="1"/>
    <n v="1"/>
  </r>
  <r>
    <m/>
    <s v="9.9"/>
    <m/>
    <m/>
    <x v="25"/>
    <x v="19"/>
    <m/>
    <n v="2"/>
    <n v="2"/>
    <n v="2"/>
  </r>
  <r>
    <n v="10"/>
    <m/>
    <m/>
    <s v="Y Front Idler"/>
    <x v="0"/>
    <x v="0"/>
    <n v="1"/>
    <m/>
    <m/>
    <m/>
  </r>
  <r>
    <m/>
    <s v="10.1"/>
    <m/>
    <m/>
    <x v="24"/>
    <x v="18"/>
    <m/>
    <n v="1"/>
    <n v="1"/>
    <n v="1"/>
  </r>
  <r>
    <m/>
    <s v="10.2"/>
    <m/>
    <m/>
    <x v="55"/>
    <x v="41"/>
    <m/>
    <n v="1"/>
    <n v="1"/>
    <n v="1"/>
  </r>
  <r>
    <m/>
    <s v="10.3"/>
    <m/>
    <m/>
    <x v="56"/>
    <x v="42"/>
    <m/>
    <n v="1"/>
    <n v="1"/>
    <n v="1"/>
  </r>
  <r>
    <m/>
    <s v="10.4"/>
    <m/>
    <m/>
    <x v="9"/>
    <x v="9"/>
    <m/>
    <n v="1"/>
    <n v="1"/>
    <n v="1"/>
  </r>
  <r>
    <m/>
    <s v="10.5"/>
    <m/>
    <m/>
    <x v="20"/>
    <x v="15"/>
    <m/>
    <n v="1"/>
    <n v="1"/>
    <n v="1"/>
  </r>
  <r>
    <m/>
    <s v="10.6"/>
    <m/>
    <m/>
    <x v="25"/>
    <x v="19"/>
    <m/>
    <n v="1"/>
    <n v="1"/>
    <n v="1"/>
  </r>
  <r>
    <s v="11"/>
    <m/>
    <m/>
    <s v="Y Plate ASMB"/>
    <x v="0"/>
    <x v="0"/>
    <n v="2"/>
    <m/>
    <m/>
    <m/>
  </r>
  <r>
    <m/>
    <s v="11.1"/>
    <m/>
    <m/>
    <x v="57"/>
    <x v="7"/>
    <m/>
    <n v="1"/>
    <n v="2"/>
    <n v="2"/>
  </r>
  <r>
    <m/>
    <s v="11.2"/>
    <m/>
    <m/>
    <x v="13"/>
    <x v="11"/>
    <m/>
    <n v="2"/>
    <n v="4"/>
    <n v="4"/>
  </r>
  <r>
    <m/>
    <s v="11.3"/>
    <m/>
    <m/>
    <x v="8"/>
    <x v="8"/>
    <m/>
    <n v="6"/>
    <n v="12"/>
    <n v="12"/>
  </r>
  <r>
    <m/>
    <s v="11.4"/>
    <m/>
    <m/>
    <x v="9"/>
    <x v="9"/>
    <m/>
    <n v="6"/>
    <n v="12"/>
    <n v="12"/>
  </r>
  <r>
    <m/>
    <s v="11.5"/>
    <m/>
    <m/>
    <x v="58"/>
    <x v="43"/>
    <m/>
    <n v="2"/>
    <n v="4"/>
    <n v="4"/>
  </r>
  <r>
    <s v="12"/>
    <m/>
    <m/>
    <s v="Power_Supply ASMB"/>
    <x v="0"/>
    <x v="0"/>
    <n v="1"/>
    <m/>
    <m/>
    <m/>
  </r>
  <r>
    <m/>
    <s v="12.1"/>
    <m/>
    <m/>
    <x v="59"/>
    <x v="44"/>
    <m/>
    <n v="1"/>
    <n v="1"/>
    <n v="1"/>
  </r>
  <r>
    <m/>
    <s v="12.2"/>
    <m/>
    <m/>
    <x v="60"/>
    <x v="45"/>
    <m/>
    <n v="2"/>
    <n v="2"/>
    <n v="2"/>
  </r>
  <r>
    <m/>
    <s v="12.3"/>
    <m/>
    <m/>
    <x v="61"/>
    <x v="46"/>
    <m/>
    <n v="6"/>
    <n v="6"/>
    <n v="6"/>
  </r>
  <r>
    <m/>
    <s v="12.4"/>
    <m/>
    <m/>
    <x v="8"/>
    <x v="8"/>
    <m/>
    <n v="4"/>
    <n v="4"/>
    <n v="4"/>
  </r>
  <r>
    <m/>
    <s v="12.5"/>
    <m/>
    <m/>
    <x v="9"/>
    <x v="9"/>
    <m/>
    <n v="5"/>
    <n v="5"/>
    <n v="5"/>
  </r>
  <r>
    <m/>
    <s v="12.6"/>
    <m/>
    <m/>
    <x v="62"/>
    <x v="36"/>
    <m/>
    <n v="1"/>
    <n v="1"/>
    <n v="1"/>
  </r>
  <r>
    <m/>
    <s v="12.7"/>
    <m/>
    <m/>
    <x v="63"/>
    <x v="47"/>
    <m/>
    <n v="1"/>
    <n v="1"/>
    <n v="1"/>
  </r>
  <r>
    <m/>
    <s v="12.8"/>
    <m/>
    <m/>
    <x v="64"/>
    <x v="48"/>
    <m/>
    <n v="1"/>
    <n v="1"/>
    <n v="1"/>
  </r>
  <r>
    <s v="13"/>
    <m/>
    <m/>
    <s v="Controler_Assembly"/>
    <x v="0"/>
    <x v="0"/>
    <n v="1"/>
    <m/>
    <m/>
    <m/>
  </r>
  <r>
    <m/>
    <s v="13.1"/>
    <m/>
    <m/>
    <x v="65"/>
    <x v="36"/>
    <m/>
    <n v="1"/>
    <n v="1"/>
    <n v="1"/>
  </r>
  <r>
    <m/>
    <s v="13.2"/>
    <m/>
    <m/>
    <x v="66"/>
    <x v="36"/>
    <m/>
    <n v="1"/>
    <n v="1"/>
    <n v="1"/>
  </r>
  <r>
    <m/>
    <s v="13.3"/>
    <m/>
    <m/>
    <x v="67"/>
    <x v="49"/>
    <m/>
    <n v="1"/>
    <n v="1"/>
    <n v="1"/>
  </r>
  <r>
    <m/>
    <s v="13.4"/>
    <m/>
    <m/>
    <x v="68"/>
    <x v="50"/>
    <m/>
    <n v="1"/>
    <n v="1"/>
    <n v="1"/>
  </r>
  <r>
    <m/>
    <s v="13.5"/>
    <m/>
    <m/>
    <x v="8"/>
    <x v="8"/>
    <m/>
    <n v="3"/>
    <n v="3"/>
    <n v="3"/>
  </r>
  <r>
    <m/>
    <s v="13.6"/>
    <m/>
    <m/>
    <x v="9"/>
    <x v="9"/>
    <m/>
    <n v="3"/>
    <n v="3"/>
    <n v="3"/>
  </r>
  <r>
    <m/>
    <s v="13.7"/>
    <m/>
    <m/>
    <x v="28"/>
    <x v="22"/>
    <m/>
    <n v="8"/>
    <n v="8"/>
    <n v="8"/>
  </r>
  <r>
    <m/>
    <s v="13.8"/>
    <m/>
    <m/>
    <x v="69"/>
    <x v="51"/>
    <m/>
    <n v="1"/>
    <n v="1"/>
    <n v="1"/>
  </r>
  <r>
    <m/>
    <s v="13.9"/>
    <m/>
    <m/>
    <x v="22"/>
    <x v="35"/>
    <m/>
    <n v="4"/>
    <n v="4"/>
    <n v="4"/>
  </r>
  <r>
    <m/>
    <s v="13.10"/>
    <m/>
    <m/>
    <x v="34"/>
    <x v="27"/>
    <m/>
    <n v="4"/>
    <n v="4"/>
    <n v="4"/>
  </r>
  <r>
    <s v="14"/>
    <m/>
    <m/>
    <s v="Geetech_GT2560_LCD_Box_ASMB"/>
    <x v="0"/>
    <x v="0"/>
    <n v="1"/>
    <m/>
    <m/>
    <m/>
  </r>
  <r>
    <m/>
    <s v="14.1"/>
    <m/>
    <m/>
    <x v="70"/>
    <x v="52"/>
    <m/>
    <n v="1"/>
    <n v="1"/>
    <n v="1"/>
  </r>
  <r>
    <m/>
    <s v="14.2"/>
    <m/>
    <m/>
    <x v="71"/>
    <x v="36"/>
    <m/>
    <n v="1"/>
    <n v="1"/>
    <n v="1"/>
  </r>
  <r>
    <m/>
    <s v="14.3"/>
    <m/>
    <m/>
    <x v="72"/>
    <x v="36"/>
    <m/>
    <n v="1"/>
    <n v="1"/>
    <n v="1"/>
  </r>
  <r>
    <m/>
    <s v="14.4"/>
    <m/>
    <m/>
    <x v="8"/>
    <x v="8"/>
    <m/>
    <n v="4"/>
    <n v="4"/>
    <n v="4"/>
  </r>
  <r>
    <m/>
    <s v="14.5"/>
    <m/>
    <m/>
    <x v="9"/>
    <x v="9"/>
    <m/>
    <n v="4"/>
    <n v="4"/>
    <n v="4"/>
  </r>
  <r>
    <m/>
    <s v="14.6"/>
    <m/>
    <m/>
    <x v="28"/>
    <x v="22"/>
    <m/>
    <n v="6"/>
    <n v="6"/>
    <n v="6"/>
  </r>
  <r>
    <s v="15"/>
    <m/>
    <m/>
    <s v="Spool Holder (Fixed Side)"/>
    <x v="0"/>
    <x v="0"/>
    <n v="2"/>
    <m/>
    <m/>
    <m/>
  </r>
  <r>
    <m/>
    <s v="15.1"/>
    <m/>
    <m/>
    <x v="58"/>
    <x v="43"/>
    <m/>
    <n v="1"/>
    <n v="2"/>
    <n v="2"/>
  </r>
  <r>
    <m/>
    <s v="15.2"/>
    <m/>
    <m/>
    <x v="24"/>
    <x v="18"/>
    <m/>
    <n v="1"/>
    <n v="2"/>
    <n v="2"/>
  </r>
  <r>
    <m/>
    <s v="15.3"/>
    <m/>
    <m/>
    <x v="8"/>
    <x v="8"/>
    <m/>
    <n v="1"/>
    <n v="2"/>
    <n v="2"/>
  </r>
  <r>
    <m/>
    <s v="15.4"/>
    <m/>
    <m/>
    <x v="19"/>
    <x v="14"/>
    <m/>
    <n v="1"/>
    <n v="2"/>
    <n v="2"/>
  </r>
  <r>
    <m/>
    <s v="15.5"/>
    <m/>
    <m/>
    <x v="30"/>
    <x v="23"/>
    <m/>
    <n v="1"/>
    <n v="2"/>
    <n v="2"/>
  </r>
  <r>
    <m/>
    <s v="15.6"/>
    <m/>
    <m/>
    <x v="9"/>
    <x v="9"/>
    <m/>
    <n v="1"/>
    <n v="2"/>
    <n v="2"/>
  </r>
  <r>
    <m/>
    <s v="15.7"/>
    <m/>
    <m/>
    <x v="73"/>
    <x v="53"/>
    <m/>
    <n v="1"/>
    <n v="2"/>
    <n v="2"/>
  </r>
  <r>
    <m/>
    <s v="15.8"/>
    <m/>
    <m/>
    <x v="25"/>
    <x v="19"/>
    <m/>
    <n v="1"/>
    <n v="2"/>
    <n v="2"/>
  </r>
  <r>
    <s v="16"/>
    <m/>
    <m/>
    <s v="Spool Holder (Floating Side)"/>
    <x v="0"/>
    <x v="0"/>
    <n v="2"/>
    <m/>
    <m/>
    <m/>
  </r>
  <r>
    <m/>
    <s v="16.1"/>
    <m/>
    <m/>
    <x v="58"/>
    <x v="43"/>
    <m/>
    <n v="1"/>
    <n v="2"/>
    <n v="2"/>
  </r>
  <r>
    <m/>
    <s v="16.2"/>
    <m/>
    <m/>
    <x v="24"/>
    <x v="18"/>
    <m/>
    <n v="1"/>
    <n v="2"/>
    <n v="2"/>
  </r>
  <r>
    <m/>
    <s v="16.3"/>
    <m/>
    <m/>
    <x v="8"/>
    <x v="8"/>
    <m/>
    <n v="1"/>
    <n v="2"/>
    <n v="2"/>
  </r>
  <r>
    <m/>
    <s v="16.4"/>
    <m/>
    <m/>
    <x v="74"/>
    <x v="54"/>
    <m/>
    <n v="1"/>
    <n v="2"/>
    <n v="2"/>
  </r>
  <r>
    <m/>
    <s v="16.5"/>
    <m/>
    <m/>
    <x v="9"/>
    <x v="9"/>
    <m/>
    <n v="1"/>
    <n v="2"/>
    <n v="2"/>
  </r>
  <r>
    <m/>
    <s v="16.6"/>
    <m/>
    <m/>
    <x v="73"/>
    <x v="53"/>
    <m/>
    <n v="2"/>
    <n v="4"/>
    <n v="4"/>
  </r>
  <r>
    <m/>
    <s v="16.7"/>
    <m/>
    <m/>
    <x v="25"/>
    <x v="19"/>
    <m/>
    <n v="1"/>
    <n v="2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PART NAME">
  <location ref="B4:C80" firstHeaderRow="1" firstDataRow="1" firstDataCol="1" rowPageCount="1" colPageCount="1"/>
  <pivotFields count="10">
    <pivotField showAll="0"/>
    <pivotField showAll="0"/>
    <pivotField showAll="0"/>
    <pivotField showAll="0"/>
    <pivotField axis="axisRow" showAll="0" sortType="ascending">
      <items count="80">
        <item x="40"/>
        <item x="59"/>
        <item x="37"/>
        <item x="23"/>
        <item x="69"/>
        <item m="1" x="76"/>
        <item m="1" x="78"/>
        <item x="19"/>
        <item x="55"/>
        <item x="68"/>
        <item x="49"/>
        <item x="45"/>
        <item x="44"/>
        <item x="39"/>
        <item m="1" x="77"/>
        <item x="58"/>
        <item x="7"/>
        <item x="32"/>
        <item x="38"/>
        <item x="18"/>
        <item m="1" x="75"/>
        <item x="63"/>
        <item x="16"/>
        <item x="67"/>
        <item x="70"/>
        <item x="72"/>
        <item x="71"/>
        <item x="26"/>
        <item x="65"/>
        <item x="66"/>
        <item x="47"/>
        <item x="43"/>
        <item x="36"/>
        <item x="29"/>
        <item x="21"/>
        <item x="27"/>
        <item x="14"/>
        <item x="51"/>
        <item x="34"/>
        <item x="35"/>
        <item x="50"/>
        <item x="41"/>
        <item x="22"/>
        <item x="28"/>
        <item x="61"/>
        <item x="56"/>
        <item x="64"/>
        <item x="13"/>
        <item x="20"/>
        <item x="30"/>
        <item x="74"/>
        <item x="8"/>
        <item x="48"/>
        <item x="52"/>
        <item x="73"/>
        <item x="42"/>
        <item x="25"/>
        <item x="46"/>
        <item x="60"/>
        <item x="33"/>
        <item x="10"/>
        <item x="24"/>
        <item x="17"/>
        <item x="9"/>
        <item x="11"/>
        <item x="3"/>
        <item x="5"/>
        <item x="4"/>
        <item x="6"/>
        <item x="15"/>
        <item x="2"/>
        <item x="1"/>
        <item x="62"/>
        <item x="31"/>
        <item x="53"/>
        <item x="57"/>
        <item x="54"/>
        <item x="12"/>
        <item x="0"/>
        <item t="default"/>
      </items>
    </pivotField>
    <pivotField axis="axisPage" showAll="0">
      <items count="56">
        <item x="14"/>
        <item x="13"/>
        <item x="41"/>
        <item x="33"/>
        <item x="51"/>
        <item x="30"/>
        <item x="32"/>
        <item x="16"/>
        <item x="34"/>
        <item x="35"/>
        <item x="22"/>
        <item x="46"/>
        <item x="43"/>
        <item x="7"/>
        <item x="31"/>
        <item x="25"/>
        <item x="49"/>
        <item x="20"/>
        <item x="29"/>
        <item x="52"/>
        <item x="21"/>
        <item x="48"/>
        <item x="11"/>
        <item x="15"/>
        <item x="23"/>
        <item x="54"/>
        <item x="8"/>
        <item x="40"/>
        <item x="27"/>
        <item x="28"/>
        <item x="39"/>
        <item x="42"/>
        <item x="37"/>
        <item x="17"/>
        <item x="10"/>
        <item x="53"/>
        <item x="24"/>
        <item x="18"/>
        <item x="12"/>
        <item x="47"/>
        <item x="50"/>
        <item x="19"/>
        <item x="45"/>
        <item x="36"/>
        <item x="26"/>
        <item x="38"/>
        <item x="44"/>
        <item x="9"/>
        <item x="3"/>
        <item x="5"/>
        <item x="4"/>
        <item x="6"/>
        <item x="2"/>
        <item x="1"/>
        <item x="0"/>
        <item t="default"/>
      </items>
    </pivotField>
    <pivotField showAll="0"/>
    <pivotField showAll="0"/>
    <pivotField showAll="0"/>
    <pivotField dataField="1" showAll="0"/>
  </pivotFields>
  <rowFields count="1">
    <field x="4"/>
  </rowFields>
  <rowItems count="76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Items count="1">
    <i/>
  </colItems>
  <pageFields count="1">
    <pageField fld="5" hier="-1"/>
  </pageFields>
  <dataFields count="1">
    <dataField name="QTY Per Printer" fld="9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65"/>
  <sheetViews>
    <sheetView tabSelected="1" zoomScaleNormal="100" workbookViewId="0">
      <pane ySplit="1" topLeftCell="A2" activePane="bottomLeft" state="frozen"/>
      <selection pane="bottomLeft" activeCell="E178" sqref="E178"/>
    </sheetView>
  </sheetViews>
  <sheetFormatPr defaultRowHeight="15" x14ac:dyDescent="0.25"/>
  <cols>
    <col min="1" max="1" width="19.5703125" customWidth="1"/>
    <col min="2" max="2" width="13.42578125" style="33" customWidth="1"/>
    <col min="3" max="3" width="13.140625" style="1" customWidth="1"/>
    <col min="4" max="4" width="40.85546875" style="1" customWidth="1"/>
    <col min="5" max="5" width="42.140625" style="1" customWidth="1"/>
    <col min="6" max="6" width="47.42578125" style="2" customWidth="1"/>
    <col min="7" max="7" width="11.42578125" customWidth="1"/>
    <col min="8" max="8" width="10.5703125" style="2" customWidth="1"/>
    <col min="9" max="9" width="10.5703125" style="2" hidden="1" customWidth="1"/>
    <col min="10" max="10" width="10.5703125" style="2" customWidth="1"/>
    <col min="11" max="11" width="64.7109375" customWidth="1"/>
  </cols>
  <sheetData>
    <row r="1" spans="1:11" ht="71.25" customHeight="1" thickBot="1" x14ac:dyDescent="0.3">
      <c r="A1" s="37" t="s">
        <v>42</v>
      </c>
      <c r="B1" s="38" t="s">
        <v>43</v>
      </c>
      <c r="C1" s="37" t="s">
        <v>44</v>
      </c>
      <c r="D1" s="37" t="s">
        <v>27</v>
      </c>
      <c r="E1" s="39" t="s">
        <v>0</v>
      </c>
      <c r="F1" s="37" t="s">
        <v>1</v>
      </c>
      <c r="G1" s="37" t="s">
        <v>28</v>
      </c>
      <c r="H1" s="37" t="s">
        <v>45</v>
      </c>
      <c r="I1" s="37" t="s">
        <v>46</v>
      </c>
      <c r="J1" s="37" t="s">
        <v>269</v>
      </c>
      <c r="K1" s="45" t="s">
        <v>29</v>
      </c>
    </row>
    <row r="2" spans="1:11" ht="17.25" x14ac:dyDescent="0.25">
      <c r="A2" s="18">
        <v>1</v>
      </c>
      <c r="B2" s="27"/>
      <c r="C2" s="22"/>
      <c r="D2" s="20" t="s">
        <v>2</v>
      </c>
      <c r="E2" s="22"/>
      <c r="F2" s="21"/>
      <c r="G2" s="21">
        <v>1</v>
      </c>
      <c r="H2" s="19"/>
      <c r="I2" s="19"/>
      <c r="J2" s="46"/>
    </row>
    <row r="3" spans="1:11" ht="17.25" x14ac:dyDescent="0.25">
      <c r="A3" s="10"/>
      <c r="B3" s="28">
        <v>1.1000000000000001</v>
      </c>
      <c r="C3" s="5"/>
      <c r="D3" s="5"/>
      <c r="E3" s="5" t="s">
        <v>58</v>
      </c>
      <c r="F3" s="4" t="s">
        <v>58</v>
      </c>
      <c r="G3" s="4"/>
      <c r="H3" s="4">
        <v>2</v>
      </c>
      <c r="I3" s="4">
        <f>$G$2*H3</f>
        <v>2</v>
      </c>
      <c r="J3" s="47">
        <f>I3</f>
        <v>2</v>
      </c>
    </row>
    <row r="4" spans="1:11" ht="17.25" x14ac:dyDescent="0.25">
      <c r="A4" s="10"/>
      <c r="B4" s="28">
        <v>1.2</v>
      </c>
      <c r="C4" s="5"/>
      <c r="D4" s="5"/>
      <c r="E4" s="5" t="s">
        <v>59</v>
      </c>
      <c r="F4" s="4" t="s">
        <v>59</v>
      </c>
      <c r="G4" s="4"/>
      <c r="H4" s="4">
        <v>2</v>
      </c>
      <c r="I4" s="4">
        <f t="shared" ref="I4:J8" si="0">$G$2*H4</f>
        <v>2</v>
      </c>
      <c r="J4" s="47">
        <f t="shared" ref="J4:J8" si="1">I4</f>
        <v>2</v>
      </c>
    </row>
    <row r="5" spans="1:11" ht="17.25" x14ac:dyDescent="0.25">
      <c r="A5" s="10"/>
      <c r="B5" s="28">
        <v>1.3</v>
      </c>
      <c r="C5" s="5"/>
      <c r="D5" s="5"/>
      <c r="E5" s="5" t="s">
        <v>60</v>
      </c>
      <c r="F5" s="4" t="s">
        <v>60</v>
      </c>
      <c r="G5" s="4"/>
      <c r="H5" s="4">
        <v>4</v>
      </c>
      <c r="I5" s="4">
        <f t="shared" si="0"/>
        <v>4</v>
      </c>
      <c r="J5" s="47">
        <f t="shared" si="1"/>
        <v>4</v>
      </c>
    </row>
    <row r="6" spans="1:11" ht="17.25" x14ac:dyDescent="0.25">
      <c r="A6" s="10"/>
      <c r="B6" s="28">
        <v>1.4</v>
      </c>
      <c r="C6" s="5"/>
      <c r="D6" s="5"/>
      <c r="E6" s="5" t="s">
        <v>61</v>
      </c>
      <c r="F6" s="4" t="s">
        <v>61</v>
      </c>
      <c r="G6" s="4"/>
      <c r="H6" s="4">
        <v>2</v>
      </c>
      <c r="I6" s="4">
        <f t="shared" si="0"/>
        <v>2</v>
      </c>
      <c r="J6" s="47">
        <f t="shared" si="1"/>
        <v>2</v>
      </c>
    </row>
    <row r="7" spans="1:11" ht="17.25" x14ac:dyDescent="0.25">
      <c r="A7" s="10"/>
      <c r="B7" s="28">
        <v>1.5</v>
      </c>
      <c r="C7" s="5"/>
      <c r="D7" s="5"/>
      <c r="E7" s="5" t="s">
        <v>62</v>
      </c>
      <c r="F7" s="4" t="s">
        <v>62</v>
      </c>
      <c r="G7" s="4"/>
      <c r="H7" s="4">
        <v>2</v>
      </c>
      <c r="I7" s="4">
        <f t="shared" si="0"/>
        <v>2</v>
      </c>
      <c r="J7" s="47">
        <f t="shared" si="1"/>
        <v>2</v>
      </c>
    </row>
    <row r="8" spans="1:11" ht="18" thickBot="1" x14ac:dyDescent="0.3">
      <c r="A8" s="14"/>
      <c r="B8" s="29">
        <v>1.6</v>
      </c>
      <c r="C8" s="16"/>
      <c r="D8" s="16"/>
      <c r="E8" s="5" t="s">
        <v>63</v>
      </c>
      <c r="F8" s="4" t="s">
        <v>63</v>
      </c>
      <c r="G8" s="15"/>
      <c r="H8" s="15">
        <v>2</v>
      </c>
      <c r="I8" s="4">
        <f t="shared" si="0"/>
        <v>2</v>
      </c>
      <c r="J8" s="47">
        <f t="shared" si="1"/>
        <v>2</v>
      </c>
    </row>
    <row r="9" spans="1:11" ht="17.25" x14ac:dyDescent="0.25">
      <c r="A9" s="6">
        <v>2</v>
      </c>
      <c r="B9" s="30"/>
      <c r="C9" s="23"/>
      <c r="D9" s="8" t="s">
        <v>3</v>
      </c>
      <c r="E9" s="23"/>
      <c r="F9" s="9"/>
      <c r="G9" s="9">
        <v>4</v>
      </c>
      <c r="H9" s="7"/>
      <c r="I9" s="7"/>
      <c r="J9" s="48"/>
    </row>
    <row r="10" spans="1:11" ht="17.25" x14ac:dyDescent="0.25">
      <c r="A10" s="10"/>
      <c r="B10" s="28">
        <v>2.1</v>
      </c>
      <c r="C10" s="5"/>
      <c r="D10" s="5"/>
      <c r="E10" s="5" t="s">
        <v>57</v>
      </c>
      <c r="F10" s="4" t="s">
        <v>52</v>
      </c>
      <c r="G10" s="4"/>
      <c r="H10" s="4">
        <v>1</v>
      </c>
      <c r="I10" s="4">
        <f>$G$9*H10</f>
        <v>4</v>
      </c>
      <c r="J10" s="47">
        <f>I10</f>
        <v>4</v>
      </c>
    </row>
    <row r="11" spans="1:11" ht="17.25" x14ac:dyDescent="0.25">
      <c r="A11" s="10"/>
      <c r="B11" s="28">
        <v>2.2000000000000002</v>
      </c>
      <c r="C11" s="5"/>
      <c r="D11" s="5"/>
      <c r="E11" s="5" t="s">
        <v>34</v>
      </c>
      <c r="F11" s="4" t="s">
        <v>5</v>
      </c>
      <c r="G11" s="4"/>
      <c r="H11" s="4">
        <v>5</v>
      </c>
      <c r="I11" s="4">
        <f t="shared" ref="I11:J11" si="2">$G$9*H11</f>
        <v>20</v>
      </c>
      <c r="J11" s="47">
        <f t="shared" ref="J11:J12" si="3">I11</f>
        <v>20</v>
      </c>
    </row>
    <row r="12" spans="1:11" ht="18" thickBot="1" x14ac:dyDescent="0.3">
      <c r="A12" s="14"/>
      <c r="B12" s="29">
        <v>2.2999999999999998</v>
      </c>
      <c r="C12" s="16"/>
      <c r="D12" s="16"/>
      <c r="E12" s="16" t="s">
        <v>39</v>
      </c>
      <c r="F12" s="15" t="s">
        <v>39</v>
      </c>
      <c r="G12" s="15"/>
      <c r="H12" s="15">
        <v>5</v>
      </c>
      <c r="I12" s="4">
        <f t="shared" ref="I12:J12" si="4">$G$9*H12</f>
        <v>20</v>
      </c>
      <c r="J12" s="47">
        <f t="shared" si="3"/>
        <v>20</v>
      </c>
    </row>
    <row r="13" spans="1:11" ht="17.25" x14ac:dyDescent="0.25">
      <c r="A13" s="6">
        <v>3</v>
      </c>
      <c r="B13" s="30"/>
      <c r="C13" s="23"/>
      <c r="D13" s="8" t="s">
        <v>6</v>
      </c>
      <c r="E13" s="23"/>
      <c r="F13" s="9"/>
      <c r="G13" s="9">
        <v>2</v>
      </c>
      <c r="H13" s="7"/>
      <c r="I13" s="7"/>
      <c r="J13" s="48"/>
    </row>
    <row r="14" spans="1:11" ht="17.25" x14ac:dyDescent="0.25">
      <c r="A14" s="10"/>
      <c r="B14" s="28">
        <v>3.1</v>
      </c>
      <c r="C14" s="5"/>
      <c r="D14" s="5"/>
      <c r="E14" s="5" t="s">
        <v>85</v>
      </c>
      <c r="F14" s="4" t="s">
        <v>52</v>
      </c>
      <c r="G14" s="4"/>
      <c r="H14" s="4">
        <v>1</v>
      </c>
      <c r="I14" s="4">
        <f>$G$13*H14</f>
        <v>2</v>
      </c>
      <c r="J14" s="47">
        <f>I14</f>
        <v>2</v>
      </c>
    </row>
    <row r="15" spans="1:11" ht="17.25" x14ac:dyDescent="0.25">
      <c r="A15" s="10"/>
      <c r="B15" s="28">
        <v>3.2</v>
      </c>
      <c r="C15" s="5"/>
      <c r="D15" s="5"/>
      <c r="E15" s="5" t="s">
        <v>34</v>
      </c>
      <c r="F15" s="4" t="s">
        <v>5</v>
      </c>
      <c r="G15" s="4"/>
      <c r="H15" s="4">
        <v>8</v>
      </c>
      <c r="I15" s="4">
        <f t="shared" ref="I15:I16" si="5">$G$13*H15</f>
        <v>16</v>
      </c>
      <c r="J15" s="47">
        <f t="shared" ref="J15:J16" si="6">I15</f>
        <v>16</v>
      </c>
    </row>
    <row r="16" spans="1:11" ht="18" thickBot="1" x14ac:dyDescent="0.3">
      <c r="A16" s="14"/>
      <c r="B16" s="29">
        <v>3.3</v>
      </c>
      <c r="C16" s="16"/>
      <c r="D16" s="16"/>
      <c r="E16" s="16" t="s">
        <v>39</v>
      </c>
      <c r="F16" s="15" t="s">
        <v>39</v>
      </c>
      <c r="G16" s="15"/>
      <c r="H16" s="15">
        <v>8</v>
      </c>
      <c r="I16" s="4">
        <f t="shared" si="5"/>
        <v>16</v>
      </c>
      <c r="J16" s="47">
        <f t="shared" si="6"/>
        <v>16</v>
      </c>
    </row>
    <row r="17" spans="1:10" ht="17.25" x14ac:dyDescent="0.25">
      <c r="A17" s="6">
        <v>4</v>
      </c>
      <c r="B17" s="30"/>
      <c r="C17" s="23"/>
      <c r="D17" s="8" t="s">
        <v>7</v>
      </c>
      <c r="E17" s="23"/>
      <c r="F17" s="9"/>
      <c r="G17" s="9">
        <v>2</v>
      </c>
      <c r="H17" s="7"/>
      <c r="I17" s="7"/>
      <c r="J17" s="48"/>
    </row>
    <row r="18" spans="1:10" ht="17.25" x14ac:dyDescent="0.25">
      <c r="A18" s="10"/>
      <c r="B18" s="28">
        <v>4.0999999999999996</v>
      </c>
      <c r="C18" s="5"/>
      <c r="D18" s="5"/>
      <c r="E18" s="5" t="s">
        <v>56</v>
      </c>
      <c r="F18" s="4" t="s">
        <v>52</v>
      </c>
      <c r="G18" s="4"/>
      <c r="H18" s="4">
        <v>1</v>
      </c>
      <c r="I18" s="4">
        <f>$G$17*H18</f>
        <v>2</v>
      </c>
      <c r="J18" s="47">
        <f>I18</f>
        <v>2</v>
      </c>
    </row>
    <row r="19" spans="1:10" ht="17.25" x14ac:dyDescent="0.25">
      <c r="A19" s="10"/>
      <c r="B19" s="28">
        <v>4.2</v>
      </c>
      <c r="C19" s="5"/>
      <c r="D19" s="5"/>
      <c r="E19" s="5" t="s">
        <v>55</v>
      </c>
      <c r="F19" s="4" t="s">
        <v>87</v>
      </c>
      <c r="G19" s="4"/>
      <c r="H19" s="4">
        <v>1</v>
      </c>
      <c r="I19" s="4">
        <f t="shared" ref="I19:I22" si="7">$G$17*H19</f>
        <v>2</v>
      </c>
      <c r="J19" s="47">
        <f t="shared" ref="J19:J22" si="8">I19</f>
        <v>2</v>
      </c>
    </row>
    <row r="20" spans="1:10" ht="17.25" x14ac:dyDescent="0.25">
      <c r="A20" s="10"/>
      <c r="B20" s="28">
        <v>4.3</v>
      </c>
      <c r="C20" s="5"/>
      <c r="D20" s="5"/>
      <c r="E20" s="5" t="s">
        <v>34</v>
      </c>
      <c r="F20" s="4" t="s">
        <v>5</v>
      </c>
      <c r="G20" s="4"/>
      <c r="H20" s="4">
        <v>4</v>
      </c>
      <c r="I20" s="4">
        <f t="shared" si="7"/>
        <v>8</v>
      </c>
      <c r="J20" s="47">
        <f t="shared" si="8"/>
        <v>8</v>
      </c>
    </row>
    <row r="21" spans="1:10" ht="17.25" x14ac:dyDescent="0.25">
      <c r="A21" s="10"/>
      <c r="B21" s="28">
        <v>4.4000000000000004</v>
      </c>
      <c r="C21" s="5"/>
      <c r="D21" s="5"/>
      <c r="E21" s="5" t="s">
        <v>33</v>
      </c>
      <c r="F21" s="4" t="s">
        <v>8</v>
      </c>
      <c r="G21" s="4"/>
      <c r="H21" s="4">
        <v>2</v>
      </c>
      <c r="I21" s="4">
        <f t="shared" si="7"/>
        <v>4</v>
      </c>
      <c r="J21" s="47">
        <f t="shared" si="8"/>
        <v>4</v>
      </c>
    </row>
    <row r="22" spans="1:10" ht="18" thickBot="1" x14ac:dyDescent="0.3">
      <c r="A22" s="14"/>
      <c r="B22" s="29">
        <v>4.5</v>
      </c>
      <c r="C22" s="16"/>
      <c r="D22" s="16"/>
      <c r="E22" s="16" t="s">
        <v>39</v>
      </c>
      <c r="F22" s="15" t="s">
        <v>39</v>
      </c>
      <c r="G22" s="15"/>
      <c r="H22" s="15">
        <v>4</v>
      </c>
      <c r="I22" s="4">
        <f t="shared" si="7"/>
        <v>8</v>
      </c>
      <c r="J22" s="47">
        <f t="shared" si="8"/>
        <v>8</v>
      </c>
    </row>
    <row r="23" spans="1:10" ht="17.25" x14ac:dyDescent="0.25">
      <c r="A23" s="6">
        <v>5</v>
      </c>
      <c r="B23" s="31"/>
      <c r="C23" s="8"/>
      <c r="D23" s="8" t="s">
        <v>15</v>
      </c>
      <c r="E23" s="8"/>
      <c r="F23" s="9"/>
      <c r="G23" s="9">
        <v>4</v>
      </c>
      <c r="H23" s="7"/>
      <c r="I23" s="7"/>
      <c r="J23" s="48"/>
    </row>
    <row r="24" spans="1:10" ht="17.25" x14ac:dyDescent="0.25">
      <c r="A24" s="10"/>
      <c r="B24" s="28">
        <v>5.0999999999999996</v>
      </c>
      <c r="C24" s="5"/>
      <c r="D24" s="5"/>
      <c r="E24" s="5" t="s">
        <v>86</v>
      </c>
      <c r="F24" s="4" t="s">
        <v>52</v>
      </c>
      <c r="G24" s="4"/>
      <c r="H24" s="4">
        <v>1</v>
      </c>
      <c r="I24" s="4">
        <f>$G$23*H24</f>
        <v>4</v>
      </c>
      <c r="J24" s="47">
        <f>I24</f>
        <v>4</v>
      </c>
    </row>
    <row r="25" spans="1:10" ht="17.25" x14ac:dyDescent="0.25">
      <c r="A25" s="10"/>
      <c r="B25" s="28">
        <v>5.2</v>
      </c>
      <c r="C25" s="5"/>
      <c r="D25" s="5"/>
      <c r="E25" s="5" t="s">
        <v>33</v>
      </c>
      <c r="F25" s="4" t="s">
        <v>8</v>
      </c>
      <c r="G25" s="4"/>
      <c r="H25" s="4">
        <v>4</v>
      </c>
      <c r="I25" s="4">
        <f t="shared" ref="I25:I27" si="9">$G$23*H25</f>
        <v>16</v>
      </c>
      <c r="J25" s="47">
        <f t="shared" ref="J25:J27" si="10">I25</f>
        <v>16</v>
      </c>
    </row>
    <row r="26" spans="1:10" ht="17.25" x14ac:dyDescent="0.25">
      <c r="A26" s="10"/>
      <c r="B26" s="28">
        <v>5.3</v>
      </c>
      <c r="C26" s="5"/>
      <c r="D26" s="5"/>
      <c r="E26" s="5" t="s">
        <v>34</v>
      </c>
      <c r="F26" s="4" t="s">
        <v>5</v>
      </c>
      <c r="G26" s="4"/>
      <c r="H26" s="4">
        <v>3</v>
      </c>
      <c r="I26" s="4">
        <f t="shared" si="9"/>
        <v>12</v>
      </c>
      <c r="J26" s="47">
        <f t="shared" si="10"/>
        <v>12</v>
      </c>
    </row>
    <row r="27" spans="1:10" ht="18" thickBot="1" x14ac:dyDescent="0.3">
      <c r="A27" s="14"/>
      <c r="B27" s="29">
        <v>5.4</v>
      </c>
      <c r="C27" s="16"/>
      <c r="D27" s="16"/>
      <c r="E27" s="16" t="s">
        <v>39</v>
      </c>
      <c r="F27" s="15" t="s">
        <v>39</v>
      </c>
      <c r="G27" s="15"/>
      <c r="H27" s="15">
        <v>3</v>
      </c>
      <c r="I27" s="4">
        <f t="shared" si="9"/>
        <v>12</v>
      </c>
      <c r="J27" s="47">
        <f t="shared" si="10"/>
        <v>12</v>
      </c>
    </row>
    <row r="28" spans="1:10" ht="17.25" x14ac:dyDescent="0.25">
      <c r="A28" s="6">
        <v>6</v>
      </c>
      <c r="B28" s="31"/>
      <c r="C28" s="8"/>
      <c r="D28" s="8" t="s">
        <v>16</v>
      </c>
      <c r="E28" s="8"/>
      <c r="F28" s="9"/>
      <c r="G28" s="9">
        <v>1</v>
      </c>
      <c r="H28" s="7"/>
      <c r="I28" s="7"/>
      <c r="J28" s="48"/>
    </row>
    <row r="29" spans="1:10" ht="17.25" x14ac:dyDescent="0.25">
      <c r="A29" s="10"/>
      <c r="B29" s="28">
        <v>6.1</v>
      </c>
      <c r="C29" s="5"/>
      <c r="D29" s="5"/>
      <c r="E29" s="5" t="s">
        <v>88</v>
      </c>
      <c r="F29" s="4" t="s">
        <v>62</v>
      </c>
      <c r="G29" s="4"/>
      <c r="H29" s="4">
        <v>1</v>
      </c>
      <c r="I29" s="4">
        <f>$G$28*H29</f>
        <v>1</v>
      </c>
      <c r="J29" s="47">
        <f>I29</f>
        <v>1</v>
      </c>
    </row>
    <row r="30" spans="1:10" ht="17.25" x14ac:dyDescent="0.25">
      <c r="A30" s="10"/>
      <c r="B30" s="41">
        <v>6.2</v>
      </c>
      <c r="C30" s="42"/>
      <c r="D30" s="42" t="s">
        <v>30</v>
      </c>
      <c r="E30" s="42"/>
      <c r="F30" s="43"/>
      <c r="G30" s="43"/>
      <c r="H30" s="43">
        <v>2</v>
      </c>
      <c r="I30" s="43"/>
      <c r="J30" s="49"/>
    </row>
    <row r="31" spans="1:10" ht="17.25" x14ac:dyDescent="0.25">
      <c r="A31" s="10"/>
      <c r="B31" s="32"/>
      <c r="C31" s="4" t="s">
        <v>9</v>
      </c>
      <c r="D31" s="5"/>
      <c r="E31" s="26" t="s">
        <v>51</v>
      </c>
      <c r="F31" s="4" t="s">
        <v>52</v>
      </c>
      <c r="G31" s="3"/>
      <c r="H31" s="4"/>
      <c r="I31" s="4">
        <v>1</v>
      </c>
      <c r="J31" s="47">
        <f>$G$28*$H$30*I31</f>
        <v>2</v>
      </c>
    </row>
    <row r="32" spans="1:10" ht="17.25" x14ac:dyDescent="0.25">
      <c r="A32" s="10"/>
      <c r="B32" s="32"/>
      <c r="C32" s="4" t="s">
        <v>10</v>
      </c>
      <c r="D32" s="5"/>
      <c r="E32" s="26" t="s">
        <v>31</v>
      </c>
      <c r="F32" s="4" t="s">
        <v>53</v>
      </c>
      <c r="G32" s="3"/>
      <c r="H32" s="4"/>
      <c r="I32" s="4">
        <v>3</v>
      </c>
      <c r="J32" s="47">
        <f>$G$28*$H$30*I32</f>
        <v>6</v>
      </c>
    </row>
    <row r="33" spans="1:10" ht="17.25" x14ac:dyDescent="0.25">
      <c r="A33" s="10"/>
      <c r="B33" s="32"/>
      <c r="C33" s="4" t="s">
        <v>11</v>
      </c>
      <c r="D33" s="5"/>
      <c r="E33" s="26" t="s">
        <v>144</v>
      </c>
      <c r="F33" s="4" t="s">
        <v>152</v>
      </c>
      <c r="G33" s="3"/>
      <c r="H33" s="4"/>
      <c r="I33" s="4">
        <v>1</v>
      </c>
      <c r="J33" s="47">
        <f t="shared" ref="J32:J36" si="11">$G$28*$H$30*I33</f>
        <v>2</v>
      </c>
    </row>
    <row r="34" spans="1:10" ht="17.25" x14ac:dyDescent="0.25">
      <c r="A34" s="10"/>
      <c r="B34" s="32"/>
      <c r="C34" s="4" t="s">
        <v>12</v>
      </c>
      <c r="D34" s="5"/>
      <c r="E34" s="26" t="s">
        <v>153</v>
      </c>
      <c r="F34" s="4" t="s">
        <v>89</v>
      </c>
      <c r="G34" s="3"/>
      <c r="H34" s="4"/>
      <c r="I34" s="4">
        <v>2</v>
      </c>
      <c r="J34" s="47">
        <f>$G$28*$H$30*I34</f>
        <v>4</v>
      </c>
    </row>
    <row r="35" spans="1:10" ht="17.25" x14ac:dyDescent="0.25">
      <c r="A35" s="10"/>
      <c r="B35" s="32"/>
      <c r="C35" s="4" t="s">
        <v>13</v>
      </c>
      <c r="D35" s="5"/>
      <c r="E35" s="26" t="s">
        <v>32</v>
      </c>
      <c r="F35" s="4" t="s">
        <v>17</v>
      </c>
      <c r="G35" s="3"/>
      <c r="H35" s="4"/>
      <c r="I35" s="4">
        <v>3</v>
      </c>
      <c r="J35" s="47">
        <f>$G$28*$H$30*I35</f>
        <v>6</v>
      </c>
    </row>
    <row r="36" spans="1:10" ht="17.25" x14ac:dyDescent="0.25">
      <c r="A36" s="10"/>
      <c r="B36" s="32"/>
      <c r="C36" s="4" t="s">
        <v>14</v>
      </c>
      <c r="D36" s="5"/>
      <c r="E36" s="26" t="s">
        <v>33</v>
      </c>
      <c r="F36" s="4" t="s">
        <v>8</v>
      </c>
      <c r="G36" s="3"/>
      <c r="H36" s="4"/>
      <c r="I36" s="4">
        <v>2</v>
      </c>
      <c r="J36" s="47">
        <f>$G$28*$H$30*I36</f>
        <v>4</v>
      </c>
    </row>
    <row r="37" spans="1:10" ht="34.5" x14ac:dyDescent="0.25">
      <c r="A37" s="10"/>
      <c r="B37" s="41">
        <v>6.3</v>
      </c>
      <c r="C37" s="42"/>
      <c r="D37" s="42" t="s">
        <v>40</v>
      </c>
      <c r="E37" s="42"/>
      <c r="F37" s="43"/>
      <c r="G37" s="43"/>
      <c r="H37" s="43">
        <v>1</v>
      </c>
      <c r="I37" s="43"/>
      <c r="J37" s="49"/>
    </row>
    <row r="38" spans="1:10" ht="17.25" x14ac:dyDescent="0.25">
      <c r="A38" s="10"/>
      <c r="B38" s="32"/>
      <c r="C38" s="4" t="s">
        <v>64</v>
      </c>
      <c r="D38" s="5"/>
      <c r="E38" s="5" t="s">
        <v>41</v>
      </c>
      <c r="F38" s="4" t="s">
        <v>52</v>
      </c>
      <c r="G38" s="3"/>
      <c r="H38" s="24"/>
      <c r="I38" s="4">
        <v>1</v>
      </c>
      <c r="J38" s="47">
        <f>I38*$H$37*$G$28</f>
        <v>1</v>
      </c>
    </row>
    <row r="39" spans="1:10" ht="17.25" x14ac:dyDescent="0.25">
      <c r="A39" s="10"/>
      <c r="B39" s="32"/>
      <c r="C39" s="4" t="s">
        <v>65</v>
      </c>
      <c r="D39" s="5"/>
      <c r="E39" s="26" t="s">
        <v>34</v>
      </c>
      <c r="F39" s="4" t="s">
        <v>5</v>
      </c>
      <c r="G39" s="3"/>
      <c r="H39" s="24"/>
      <c r="I39" s="4">
        <v>1</v>
      </c>
      <c r="J39" s="47">
        <f>I39*$H$37*$G$28</f>
        <v>1</v>
      </c>
    </row>
    <row r="40" spans="1:10" ht="34.5" x14ac:dyDescent="0.25">
      <c r="A40" s="10"/>
      <c r="B40" s="32"/>
      <c r="C40" s="4" t="s">
        <v>66</v>
      </c>
      <c r="D40" s="5"/>
      <c r="E40" s="26" t="s">
        <v>35</v>
      </c>
      <c r="F40" s="4" t="s">
        <v>18</v>
      </c>
      <c r="G40" s="3"/>
      <c r="H40" s="24"/>
      <c r="I40" s="4">
        <v>4</v>
      </c>
      <c r="J40" s="47">
        <f>I40*$H$37*$G$28</f>
        <v>4</v>
      </c>
    </row>
    <row r="41" spans="1:10" ht="17.25" x14ac:dyDescent="0.25">
      <c r="A41" s="10"/>
      <c r="B41" s="32"/>
      <c r="C41" s="4" t="s">
        <v>67</v>
      </c>
      <c r="D41" s="5"/>
      <c r="E41" s="26" t="s">
        <v>36</v>
      </c>
      <c r="F41" s="4" t="s">
        <v>90</v>
      </c>
      <c r="G41" s="3"/>
      <c r="H41" s="24"/>
      <c r="I41" s="4">
        <v>1</v>
      </c>
      <c r="J41" s="47">
        <f>I41*$H$37*$G$28</f>
        <v>1</v>
      </c>
    </row>
    <row r="42" spans="1:10" ht="17.25" x14ac:dyDescent="0.25">
      <c r="A42" s="10"/>
      <c r="B42" s="32"/>
      <c r="C42" s="4" t="s">
        <v>68</v>
      </c>
      <c r="D42" s="5"/>
      <c r="E42" s="26" t="s">
        <v>37</v>
      </c>
      <c r="F42" s="4" t="s">
        <v>91</v>
      </c>
      <c r="G42" s="3"/>
      <c r="H42" s="24"/>
      <c r="I42" s="4">
        <v>1</v>
      </c>
      <c r="J42" s="47">
        <f>I42*$H$37*$G$28</f>
        <v>1</v>
      </c>
    </row>
    <row r="43" spans="1:10" ht="17.25" x14ac:dyDescent="0.25">
      <c r="A43" s="10"/>
      <c r="B43" s="32"/>
      <c r="C43" s="4" t="s">
        <v>69</v>
      </c>
      <c r="D43" s="5"/>
      <c r="E43" s="26" t="s">
        <v>49</v>
      </c>
      <c r="F43" s="4" t="s">
        <v>92</v>
      </c>
      <c r="G43" s="3"/>
      <c r="H43" s="24"/>
      <c r="I43" s="4">
        <v>2</v>
      </c>
      <c r="J43" s="47">
        <f>I43*$H$37*$G$28</f>
        <v>2</v>
      </c>
    </row>
    <row r="44" spans="1:10" ht="17.25" x14ac:dyDescent="0.25">
      <c r="A44" s="10"/>
      <c r="B44" s="32"/>
      <c r="C44" s="4" t="s">
        <v>70</v>
      </c>
      <c r="D44" s="5"/>
      <c r="E44" s="26" t="s">
        <v>32</v>
      </c>
      <c r="F44" s="4" t="s">
        <v>17</v>
      </c>
      <c r="G44" s="3"/>
      <c r="H44" s="24"/>
      <c r="I44" s="4">
        <v>1</v>
      </c>
      <c r="J44" s="47">
        <f>I44*$H$37*$G$28</f>
        <v>1</v>
      </c>
    </row>
    <row r="45" spans="1:10" ht="17.25" x14ac:dyDescent="0.25">
      <c r="A45" s="10"/>
      <c r="B45" s="32"/>
      <c r="C45" s="4" t="s">
        <v>71</v>
      </c>
      <c r="D45" s="5"/>
      <c r="E45" s="26" t="s">
        <v>153</v>
      </c>
      <c r="F45" s="4" t="s">
        <v>89</v>
      </c>
      <c r="G45" s="3"/>
      <c r="H45" s="24"/>
      <c r="I45" s="4">
        <v>1</v>
      </c>
      <c r="J45" s="47">
        <f>I45*$H$37*$G$28</f>
        <v>1</v>
      </c>
    </row>
    <row r="46" spans="1:10" ht="17.25" x14ac:dyDescent="0.25">
      <c r="A46" s="10"/>
      <c r="B46" s="32"/>
      <c r="C46" s="4" t="s">
        <v>72</v>
      </c>
      <c r="D46" s="5"/>
      <c r="E46" s="26" t="s">
        <v>39</v>
      </c>
      <c r="F46" s="15" t="s">
        <v>39</v>
      </c>
      <c r="G46" s="3"/>
      <c r="H46" s="24"/>
      <c r="I46" s="4">
        <v>2</v>
      </c>
      <c r="J46" s="47">
        <f>I46*$H$37*$G$28</f>
        <v>2</v>
      </c>
    </row>
    <row r="47" spans="1:10" ht="17.25" x14ac:dyDescent="0.25">
      <c r="A47" s="10"/>
      <c r="B47" s="32"/>
      <c r="C47" s="4" t="s">
        <v>73</v>
      </c>
      <c r="D47" s="5"/>
      <c r="E47" s="26" t="s">
        <v>93</v>
      </c>
      <c r="F47" s="4" t="s">
        <v>94</v>
      </c>
      <c r="G47" s="3"/>
      <c r="H47" s="24"/>
      <c r="I47" s="4">
        <v>1</v>
      </c>
      <c r="J47" s="47">
        <f>I47*$H$37*$G$28</f>
        <v>1</v>
      </c>
    </row>
    <row r="48" spans="1:10" ht="17.25" x14ac:dyDescent="0.25">
      <c r="A48" s="10"/>
      <c r="B48" s="32"/>
      <c r="C48" s="4" t="s">
        <v>74</v>
      </c>
      <c r="D48" s="5"/>
      <c r="E48" s="26" t="s">
        <v>38</v>
      </c>
      <c r="F48" s="4" t="s">
        <v>38</v>
      </c>
      <c r="G48" s="3"/>
      <c r="H48" s="24"/>
      <c r="I48" s="4">
        <v>1</v>
      </c>
      <c r="J48" s="47">
        <f>I48*$H$37*$G$28</f>
        <v>1</v>
      </c>
    </row>
    <row r="49" spans="1:10" ht="17.25" x14ac:dyDescent="0.25">
      <c r="A49" s="10"/>
      <c r="B49" s="32"/>
      <c r="C49" s="4" t="s">
        <v>75</v>
      </c>
      <c r="D49" s="5"/>
      <c r="E49" s="26" t="s">
        <v>47</v>
      </c>
      <c r="F49" s="4" t="s">
        <v>50</v>
      </c>
      <c r="G49" s="3"/>
      <c r="H49" s="24"/>
      <c r="I49" s="4">
        <v>3</v>
      </c>
      <c r="J49" s="47">
        <f>I49*$H$37*$G$28</f>
        <v>3</v>
      </c>
    </row>
    <row r="50" spans="1:10" ht="17.25" x14ac:dyDescent="0.25">
      <c r="A50" s="10"/>
      <c r="B50" s="41">
        <v>6.4</v>
      </c>
      <c r="C50" s="42"/>
      <c r="D50" s="42" t="s">
        <v>171</v>
      </c>
      <c r="E50" s="42"/>
      <c r="F50" s="43"/>
      <c r="G50" s="44"/>
      <c r="H50" s="43">
        <v>1</v>
      </c>
      <c r="I50" s="43"/>
      <c r="J50" s="49"/>
    </row>
    <row r="51" spans="1:10" ht="17.25" x14ac:dyDescent="0.25">
      <c r="A51" s="10"/>
      <c r="B51" s="32"/>
      <c r="C51" s="4" t="s">
        <v>76</v>
      </c>
      <c r="D51" s="5"/>
      <c r="E51" s="26" t="s">
        <v>95</v>
      </c>
      <c r="F51" s="4" t="s">
        <v>52</v>
      </c>
      <c r="G51" s="3"/>
      <c r="H51" s="24"/>
      <c r="I51" s="4">
        <v>1</v>
      </c>
      <c r="J51" s="47">
        <f>$G$28*$H$50*I51</f>
        <v>1</v>
      </c>
    </row>
    <row r="52" spans="1:10" ht="17.25" x14ac:dyDescent="0.25">
      <c r="A52" s="10"/>
      <c r="B52" s="32"/>
      <c r="C52" s="4" t="s">
        <v>77</v>
      </c>
      <c r="D52" s="5"/>
      <c r="E52" s="26" t="s">
        <v>48</v>
      </c>
      <c r="F52" s="4" t="s">
        <v>19</v>
      </c>
      <c r="G52" s="3"/>
      <c r="H52" s="24"/>
      <c r="I52" s="4">
        <v>1</v>
      </c>
      <c r="J52" s="47">
        <f>$G$28*$H$50*I52</f>
        <v>1</v>
      </c>
    </row>
    <row r="53" spans="1:10" ht="17.25" x14ac:dyDescent="0.25">
      <c r="A53" s="10"/>
      <c r="B53" s="32"/>
      <c r="C53" s="4" t="s">
        <v>78</v>
      </c>
      <c r="D53" s="5"/>
      <c r="E53" s="26" t="s">
        <v>34</v>
      </c>
      <c r="F53" s="4" t="s">
        <v>5</v>
      </c>
      <c r="G53" s="3"/>
      <c r="H53" s="24"/>
      <c r="I53" s="4">
        <v>1</v>
      </c>
      <c r="J53" s="47">
        <f>$G$28*$H$50*I53</f>
        <v>1</v>
      </c>
    </row>
    <row r="54" spans="1:10" ht="17.25" x14ac:dyDescent="0.25">
      <c r="A54" s="10"/>
      <c r="B54" s="32"/>
      <c r="C54" s="4" t="s">
        <v>79</v>
      </c>
      <c r="D54" s="5"/>
      <c r="E54" s="26" t="s">
        <v>39</v>
      </c>
      <c r="F54" s="15" t="s">
        <v>39</v>
      </c>
      <c r="G54" s="3"/>
      <c r="H54" s="24"/>
      <c r="I54" s="4">
        <v>2</v>
      </c>
      <c r="J54" s="47">
        <f>$G$28*$H$50*I54</f>
        <v>2</v>
      </c>
    </row>
    <row r="55" spans="1:10" ht="17.25" x14ac:dyDescent="0.25">
      <c r="A55" s="10"/>
      <c r="B55" s="32"/>
      <c r="C55" s="4" t="s">
        <v>80</v>
      </c>
      <c r="D55" s="5"/>
      <c r="E55" s="26" t="s">
        <v>37</v>
      </c>
      <c r="F55" s="4" t="s">
        <v>91</v>
      </c>
      <c r="G55" s="3"/>
      <c r="H55" s="24"/>
      <c r="I55" s="4">
        <v>1</v>
      </c>
      <c r="J55" s="47">
        <f>$G$28*$H$50*I55</f>
        <v>1</v>
      </c>
    </row>
    <row r="56" spans="1:10" ht="17.25" x14ac:dyDescent="0.25">
      <c r="A56" s="10"/>
      <c r="B56" s="32"/>
      <c r="C56" s="4" t="s">
        <v>81</v>
      </c>
      <c r="D56" s="5"/>
      <c r="E56" s="26" t="s">
        <v>49</v>
      </c>
      <c r="F56" s="4" t="s">
        <v>92</v>
      </c>
      <c r="G56" s="3"/>
      <c r="H56" s="24"/>
      <c r="I56" s="4">
        <v>2</v>
      </c>
      <c r="J56" s="47">
        <f>$G$28*$H$50*I56</f>
        <v>2</v>
      </c>
    </row>
    <row r="57" spans="1:10" ht="17.25" x14ac:dyDescent="0.25">
      <c r="A57" s="10"/>
      <c r="B57" s="32"/>
      <c r="C57" s="4" t="s">
        <v>82</v>
      </c>
      <c r="D57" s="5"/>
      <c r="E57" s="26" t="s">
        <v>153</v>
      </c>
      <c r="F57" s="4" t="s">
        <v>89</v>
      </c>
      <c r="G57" s="3"/>
      <c r="H57" s="24"/>
      <c r="I57" s="4">
        <v>1</v>
      </c>
      <c r="J57" s="47">
        <f>$G$28*$H$50*I57</f>
        <v>1</v>
      </c>
    </row>
    <row r="58" spans="1:10" ht="17.25" x14ac:dyDescent="0.25">
      <c r="A58" s="10"/>
      <c r="B58" s="32"/>
      <c r="C58" s="4" t="s">
        <v>83</v>
      </c>
      <c r="D58" s="5"/>
      <c r="E58" s="26" t="s">
        <v>38</v>
      </c>
      <c r="F58" s="4" t="s">
        <v>38</v>
      </c>
      <c r="G58" s="3"/>
      <c r="H58" s="24"/>
      <c r="I58" s="4">
        <v>1</v>
      </c>
      <c r="J58" s="47">
        <f>$G$28*$H$50*I58</f>
        <v>1</v>
      </c>
    </row>
    <row r="59" spans="1:10" ht="18" thickBot="1" x14ac:dyDescent="0.3">
      <c r="A59" s="14"/>
      <c r="B59" s="34"/>
      <c r="C59" s="15" t="s">
        <v>84</v>
      </c>
      <c r="D59" s="16"/>
      <c r="E59" s="35" t="s">
        <v>47</v>
      </c>
      <c r="F59" s="15" t="s">
        <v>50</v>
      </c>
      <c r="G59" s="17"/>
      <c r="H59" s="25"/>
      <c r="I59" s="4">
        <v>3</v>
      </c>
      <c r="J59" s="47">
        <f>$G$28*$H$50*I59</f>
        <v>3</v>
      </c>
    </row>
    <row r="60" spans="1:10" ht="17.25" x14ac:dyDescent="0.25">
      <c r="A60" s="6">
        <v>7</v>
      </c>
      <c r="B60" s="30"/>
      <c r="C60" s="8"/>
      <c r="D60" s="8" t="s">
        <v>20</v>
      </c>
      <c r="E60" s="8"/>
      <c r="F60" s="9"/>
      <c r="G60" s="9">
        <v>1</v>
      </c>
      <c r="H60" s="7"/>
      <c r="I60" s="7"/>
      <c r="J60" s="48"/>
    </row>
    <row r="61" spans="1:10" ht="17.25" x14ac:dyDescent="0.25">
      <c r="A61" s="10"/>
      <c r="B61" s="28" t="s">
        <v>120</v>
      </c>
      <c r="C61" s="5"/>
      <c r="D61" s="5"/>
      <c r="E61" s="5" t="s">
        <v>142</v>
      </c>
      <c r="F61" s="4" t="s">
        <v>52</v>
      </c>
      <c r="G61" s="4"/>
      <c r="H61" s="4">
        <v>1</v>
      </c>
      <c r="I61" s="4">
        <f>$G$60*H61</f>
        <v>1</v>
      </c>
      <c r="J61" s="47">
        <f>I61</f>
        <v>1</v>
      </c>
    </row>
    <row r="62" spans="1:10" ht="17.25" x14ac:dyDescent="0.25">
      <c r="A62" s="10"/>
      <c r="B62" s="28" t="s">
        <v>121</v>
      </c>
      <c r="C62" s="5"/>
      <c r="D62" s="5"/>
      <c r="E62" s="5" t="s">
        <v>96</v>
      </c>
      <c r="F62" s="4" t="s">
        <v>97</v>
      </c>
      <c r="G62" s="4"/>
      <c r="H62" s="4">
        <v>2</v>
      </c>
      <c r="I62" s="4">
        <f>$G$60*H62</f>
        <v>2</v>
      </c>
      <c r="J62" s="47">
        <f>I62</f>
        <v>2</v>
      </c>
    </row>
    <row r="63" spans="1:10" ht="17.25" x14ac:dyDescent="0.25">
      <c r="A63" s="10"/>
      <c r="B63" s="28" t="s">
        <v>122</v>
      </c>
      <c r="C63" s="5"/>
      <c r="D63" s="5"/>
      <c r="E63" s="5" t="s">
        <v>153</v>
      </c>
      <c r="F63" s="4" t="s">
        <v>89</v>
      </c>
      <c r="G63" s="4"/>
      <c r="H63" s="4">
        <v>2</v>
      </c>
      <c r="I63" s="4">
        <f>$G$60*H63</f>
        <v>2</v>
      </c>
      <c r="J63" s="47">
        <f>I63</f>
        <v>2</v>
      </c>
    </row>
    <row r="64" spans="1:10" ht="17.25" x14ac:dyDescent="0.25">
      <c r="A64" s="10"/>
      <c r="B64" s="28" t="s">
        <v>123</v>
      </c>
      <c r="C64" s="5"/>
      <c r="D64" s="5"/>
      <c r="E64" s="5" t="s">
        <v>32</v>
      </c>
      <c r="F64" s="4" t="s">
        <v>17</v>
      </c>
      <c r="G64" s="4"/>
      <c r="H64" s="4">
        <v>3</v>
      </c>
      <c r="I64" s="4">
        <f>$G$60*H64</f>
        <v>3</v>
      </c>
      <c r="J64" s="47">
        <f>I64</f>
        <v>3</v>
      </c>
    </row>
    <row r="65" spans="1:10" ht="17.25" x14ac:dyDescent="0.25">
      <c r="A65" s="10"/>
      <c r="B65" s="28" t="s">
        <v>124</v>
      </c>
      <c r="C65" s="5"/>
      <c r="D65" s="5"/>
      <c r="E65" s="5" t="s">
        <v>31</v>
      </c>
      <c r="F65" s="4" t="s">
        <v>53</v>
      </c>
      <c r="G65" s="4"/>
      <c r="H65" s="4">
        <v>1</v>
      </c>
      <c r="I65" s="4">
        <f>$G$60*H65</f>
        <v>1</v>
      </c>
      <c r="J65" s="47">
        <f>I65</f>
        <v>1</v>
      </c>
    </row>
    <row r="66" spans="1:10" ht="17.25" x14ac:dyDescent="0.25">
      <c r="A66" s="10"/>
      <c r="B66" s="28" t="s">
        <v>125</v>
      </c>
      <c r="C66" s="5"/>
      <c r="D66" s="5"/>
      <c r="E66" s="5" t="s">
        <v>144</v>
      </c>
      <c r="F66" s="4" t="s">
        <v>119</v>
      </c>
      <c r="G66" s="4"/>
      <c r="H66" s="4">
        <v>1</v>
      </c>
      <c r="I66" s="4">
        <f>$G$60*H66</f>
        <v>1</v>
      </c>
      <c r="J66" s="47">
        <f>I66</f>
        <v>1</v>
      </c>
    </row>
    <row r="67" spans="1:10" ht="17.25" x14ac:dyDescent="0.25">
      <c r="A67" s="10"/>
      <c r="B67" s="28" t="s">
        <v>126</v>
      </c>
      <c r="C67" s="5"/>
      <c r="D67" s="5"/>
      <c r="E67" s="5" t="s">
        <v>98</v>
      </c>
      <c r="F67" s="4" t="s">
        <v>118</v>
      </c>
      <c r="G67" s="4"/>
      <c r="H67" s="4">
        <v>1</v>
      </c>
      <c r="I67" s="4">
        <f>$G$60*H67</f>
        <v>1</v>
      </c>
      <c r="J67" s="47">
        <f>I67</f>
        <v>1</v>
      </c>
    </row>
    <row r="68" spans="1:10" ht="17.25" x14ac:dyDescent="0.25">
      <c r="A68" s="10"/>
      <c r="B68" s="28" t="s">
        <v>127</v>
      </c>
      <c r="C68" s="5"/>
      <c r="D68" s="5"/>
      <c r="E68" s="5" t="s">
        <v>111</v>
      </c>
      <c r="F68" s="4" t="s">
        <v>111</v>
      </c>
      <c r="G68" s="4"/>
      <c r="H68" s="4">
        <v>6</v>
      </c>
      <c r="I68" s="4">
        <f>$G$60*H68</f>
        <v>6</v>
      </c>
      <c r="J68" s="47">
        <f>I68</f>
        <v>6</v>
      </c>
    </row>
    <row r="69" spans="1:10" ht="17.25" x14ac:dyDescent="0.25">
      <c r="A69" s="10"/>
      <c r="B69" s="28" t="s">
        <v>128</v>
      </c>
      <c r="C69" s="5"/>
      <c r="D69" s="5"/>
      <c r="E69" s="5" t="s">
        <v>112</v>
      </c>
      <c r="F69" s="4" t="s">
        <v>112</v>
      </c>
      <c r="G69" s="4"/>
      <c r="H69" s="4">
        <v>2</v>
      </c>
      <c r="I69" s="4">
        <f>$G$60*H69</f>
        <v>2</v>
      </c>
      <c r="J69" s="47">
        <f>I69</f>
        <v>2</v>
      </c>
    </row>
    <row r="70" spans="1:10" ht="17.25" x14ac:dyDescent="0.25">
      <c r="A70" s="10"/>
      <c r="B70" s="28" t="s">
        <v>129</v>
      </c>
      <c r="C70" s="5"/>
      <c r="D70" s="5"/>
      <c r="E70" s="5" t="s">
        <v>103</v>
      </c>
      <c r="F70" s="4" t="s">
        <v>103</v>
      </c>
      <c r="G70" s="4"/>
      <c r="H70" s="4">
        <v>1</v>
      </c>
      <c r="I70" s="4">
        <f>$G$60*H70</f>
        <v>1</v>
      </c>
      <c r="J70" s="47">
        <f>I70</f>
        <v>1</v>
      </c>
    </row>
    <row r="71" spans="1:10" ht="17.25" x14ac:dyDescent="0.25">
      <c r="A71" s="10"/>
      <c r="B71" s="28" t="s">
        <v>130</v>
      </c>
      <c r="C71" s="5"/>
      <c r="D71" s="5"/>
      <c r="E71" s="5" t="s">
        <v>104</v>
      </c>
      <c r="F71" s="4" t="s">
        <v>116</v>
      </c>
      <c r="G71" s="4"/>
      <c r="H71" s="4">
        <v>1</v>
      </c>
      <c r="I71" s="4">
        <f>$G$60*H71</f>
        <v>1</v>
      </c>
      <c r="J71" s="47">
        <f>I71</f>
        <v>1</v>
      </c>
    </row>
    <row r="72" spans="1:10" ht="17.25" x14ac:dyDescent="0.25">
      <c r="A72" s="10"/>
      <c r="B72" s="28" t="s">
        <v>131</v>
      </c>
      <c r="C72" s="5"/>
      <c r="D72" s="5"/>
      <c r="E72" s="5" t="s">
        <v>105</v>
      </c>
      <c r="F72" s="4" t="s">
        <v>105</v>
      </c>
      <c r="G72" s="4"/>
      <c r="H72" s="4">
        <v>1</v>
      </c>
      <c r="I72" s="4">
        <f>$G$60*H72</f>
        <v>1</v>
      </c>
      <c r="J72" s="47">
        <f>I72</f>
        <v>1</v>
      </c>
    </row>
    <row r="73" spans="1:10" ht="17.25" x14ac:dyDescent="0.25">
      <c r="A73" s="10"/>
      <c r="B73" s="28" t="s">
        <v>132</v>
      </c>
      <c r="C73" s="5"/>
      <c r="D73" s="5"/>
      <c r="E73" s="5" t="s">
        <v>106</v>
      </c>
      <c r="F73" s="4" t="s">
        <v>115</v>
      </c>
      <c r="G73" s="4"/>
      <c r="H73" s="4">
        <v>1</v>
      </c>
      <c r="I73" s="4">
        <f>$G$60*H73</f>
        <v>1</v>
      </c>
      <c r="J73" s="47">
        <f>I73</f>
        <v>1</v>
      </c>
    </row>
    <row r="74" spans="1:10" ht="17.25" x14ac:dyDescent="0.25">
      <c r="A74" s="10"/>
      <c r="B74" s="28" t="s">
        <v>133</v>
      </c>
      <c r="C74" s="5"/>
      <c r="D74" s="5"/>
      <c r="E74" s="5" t="s">
        <v>108</v>
      </c>
      <c r="F74" s="4" t="s">
        <v>114</v>
      </c>
      <c r="G74" s="4"/>
      <c r="H74" s="4">
        <v>1</v>
      </c>
      <c r="I74" s="4">
        <f>$G$60*H74</f>
        <v>1</v>
      </c>
      <c r="J74" s="47">
        <f>I74</f>
        <v>1</v>
      </c>
    </row>
    <row r="75" spans="1:10" ht="17.25" x14ac:dyDescent="0.25">
      <c r="A75" s="10"/>
      <c r="B75" s="28" t="s">
        <v>134</v>
      </c>
      <c r="C75" s="5"/>
      <c r="D75" s="5"/>
      <c r="E75" s="5" t="s">
        <v>47</v>
      </c>
      <c r="F75" s="4" t="s">
        <v>50</v>
      </c>
      <c r="G75" s="4"/>
      <c r="H75" s="4">
        <v>4</v>
      </c>
      <c r="I75" s="4">
        <f>$G$60*H75</f>
        <v>4</v>
      </c>
      <c r="J75" s="47">
        <f>I75</f>
        <v>4</v>
      </c>
    </row>
    <row r="76" spans="1:10" ht="17.25" x14ac:dyDescent="0.25">
      <c r="A76" s="10"/>
      <c r="B76" s="28" t="s">
        <v>135</v>
      </c>
      <c r="C76" s="5"/>
      <c r="D76" s="5"/>
      <c r="E76" s="5" t="s">
        <v>102</v>
      </c>
      <c r="F76" s="4" t="s">
        <v>117</v>
      </c>
      <c r="G76" s="4"/>
      <c r="H76" s="4">
        <v>2</v>
      </c>
      <c r="I76" s="4">
        <f>$G$60*H76</f>
        <v>2</v>
      </c>
      <c r="J76" s="47">
        <f>I76</f>
        <v>2</v>
      </c>
    </row>
    <row r="77" spans="1:10" ht="17.25" x14ac:dyDescent="0.25">
      <c r="A77" s="10"/>
      <c r="B77" s="28" t="s">
        <v>136</v>
      </c>
      <c r="C77" s="5"/>
      <c r="D77" s="5"/>
      <c r="E77" s="5" t="s">
        <v>35</v>
      </c>
      <c r="F77" s="4" t="s">
        <v>113</v>
      </c>
      <c r="G77" s="4"/>
      <c r="H77" s="4">
        <v>10</v>
      </c>
      <c r="I77" s="4">
        <f>$G$60*H77</f>
        <v>10</v>
      </c>
      <c r="J77" s="47">
        <f>I77</f>
        <v>10</v>
      </c>
    </row>
    <row r="78" spans="1:10" ht="17.25" x14ac:dyDescent="0.25">
      <c r="A78" s="10"/>
      <c r="B78" s="28" t="s">
        <v>137</v>
      </c>
      <c r="C78" s="5"/>
      <c r="D78" s="5"/>
      <c r="E78" s="5" t="s">
        <v>109</v>
      </c>
      <c r="F78" s="4" t="s">
        <v>101</v>
      </c>
      <c r="G78" s="4"/>
      <c r="H78" s="4">
        <v>1</v>
      </c>
      <c r="I78" s="4">
        <f>$G$60*H78</f>
        <v>1</v>
      </c>
      <c r="J78" s="47">
        <f>I78</f>
        <v>1</v>
      </c>
    </row>
    <row r="79" spans="1:10" ht="17.25" x14ac:dyDescent="0.25">
      <c r="A79" s="10"/>
      <c r="B79" s="28" t="s">
        <v>138</v>
      </c>
      <c r="C79" s="5"/>
      <c r="D79" s="5"/>
      <c r="E79" s="5" t="s">
        <v>107</v>
      </c>
      <c r="F79" s="4" t="s">
        <v>101</v>
      </c>
      <c r="G79" s="4"/>
      <c r="H79" s="4">
        <v>1</v>
      </c>
      <c r="I79" s="4">
        <f>$G$60*H79</f>
        <v>1</v>
      </c>
      <c r="J79" s="47">
        <f>I79</f>
        <v>1</v>
      </c>
    </row>
    <row r="80" spans="1:10" ht="17.25" x14ac:dyDescent="0.25">
      <c r="A80" s="10"/>
      <c r="B80" s="28" t="s">
        <v>139</v>
      </c>
      <c r="C80" s="5"/>
      <c r="D80" s="5"/>
      <c r="E80" s="5" t="s">
        <v>99</v>
      </c>
      <c r="F80" s="4" t="s">
        <v>101</v>
      </c>
      <c r="G80" s="4"/>
      <c r="H80" s="4">
        <v>1</v>
      </c>
      <c r="I80" s="4">
        <f>$G$60*H80</f>
        <v>1</v>
      </c>
      <c r="J80" s="47">
        <f>I80</f>
        <v>1</v>
      </c>
    </row>
    <row r="81" spans="1:10" ht="17.25" x14ac:dyDescent="0.25">
      <c r="A81" s="10"/>
      <c r="B81" s="28" t="s">
        <v>140</v>
      </c>
      <c r="C81" s="5"/>
      <c r="D81" s="5"/>
      <c r="E81" s="5" t="s">
        <v>100</v>
      </c>
      <c r="F81" s="4" t="s">
        <v>101</v>
      </c>
      <c r="G81" s="4"/>
      <c r="H81" s="4">
        <v>1</v>
      </c>
      <c r="I81" s="4">
        <f>$G$60*H81</f>
        <v>1</v>
      </c>
      <c r="J81" s="47">
        <f>I81</f>
        <v>1</v>
      </c>
    </row>
    <row r="82" spans="1:10" ht="18" thickBot="1" x14ac:dyDescent="0.3">
      <c r="A82" s="14"/>
      <c r="B82" s="29" t="s">
        <v>141</v>
      </c>
      <c r="C82" s="16"/>
      <c r="D82" s="16"/>
      <c r="E82" s="16" t="s">
        <v>110</v>
      </c>
      <c r="F82" s="15" t="s">
        <v>101</v>
      </c>
      <c r="G82" s="15"/>
      <c r="H82" s="15">
        <v>1</v>
      </c>
      <c r="I82" s="4">
        <f>$G$60*H82</f>
        <v>1</v>
      </c>
      <c r="J82" s="47">
        <f>I82</f>
        <v>1</v>
      </c>
    </row>
    <row r="83" spans="1:10" ht="17.25" x14ac:dyDescent="0.25">
      <c r="A83" s="40" t="s">
        <v>154</v>
      </c>
      <c r="B83" s="31"/>
      <c r="C83" s="8"/>
      <c r="D83" s="8" t="s">
        <v>170</v>
      </c>
      <c r="E83" s="8"/>
      <c r="F83" s="9"/>
      <c r="G83" s="9">
        <v>1</v>
      </c>
      <c r="H83" s="7"/>
      <c r="I83" s="7"/>
      <c r="J83" s="48"/>
    </row>
    <row r="84" spans="1:10" ht="17.25" x14ac:dyDescent="0.25">
      <c r="A84" s="10"/>
      <c r="B84" s="28" t="s">
        <v>155</v>
      </c>
      <c r="C84" s="5"/>
      <c r="D84" s="5"/>
      <c r="E84" s="5" t="s">
        <v>143</v>
      </c>
      <c r="F84" s="4" t="s">
        <v>52</v>
      </c>
      <c r="G84" s="4"/>
      <c r="H84" s="4">
        <v>1</v>
      </c>
      <c r="I84" s="4">
        <f>$G$83*H84</f>
        <v>1</v>
      </c>
      <c r="J84" s="47">
        <f>I84</f>
        <v>1</v>
      </c>
    </row>
    <row r="85" spans="1:10" ht="17.25" x14ac:dyDescent="0.25">
      <c r="A85" s="10"/>
      <c r="B85" s="28" t="s">
        <v>156</v>
      </c>
      <c r="C85" s="5"/>
      <c r="D85" s="5"/>
      <c r="E85" s="5" t="s">
        <v>31</v>
      </c>
      <c r="F85" s="4" t="s">
        <v>53</v>
      </c>
      <c r="G85" s="4"/>
      <c r="H85" s="4">
        <v>4</v>
      </c>
      <c r="I85" s="4">
        <f>$G$83*H85</f>
        <v>4</v>
      </c>
      <c r="J85" s="47">
        <f>I85</f>
        <v>4</v>
      </c>
    </row>
    <row r="86" spans="1:10" ht="17.25" x14ac:dyDescent="0.25">
      <c r="A86" s="10"/>
      <c r="B86" s="28" t="s">
        <v>157</v>
      </c>
      <c r="C86" s="5"/>
      <c r="D86" s="5"/>
      <c r="E86" s="5" t="s">
        <v>144</v>
      </c>
      <c r="F86" s="4" t="s">
        <v>152</v>
      </c>
      <c r="G86" s="4"/>
      <c r="H86" s="4">
        <v>2</v>
      </c>
      <c r="I86" s="4">
        <f>$G$83*H86</f>
        <v>2</v>
      </c>
      <c r="J86" s="47">
        <f>I86</f>
        <v>2</v>
      </c>
    </row>
    <row r="87" spans="1:10" ht="17.25" x14ac:dyDescent="0.25">
      <c r="A87" s="10"/>
      <c r="B87" s="28" t="s">
        <v>158</v>
      </c>
      <c r="C87" s="5"/>
      <c r="D87" s="5"/>
      <c r="E87" s="5" t="s">
        <v>153</v>
      </c>
      <c r="F87" s="4" t="s">
        <v>89</v>
      </c>
      <c r="G87" s="4"/>
      <c r="H87" s="4">
        <v>2</v>
      </c>
      <c r="I87" s="4">
        <f>$G$83*H87</f>
        <v>2</v>
      </c>
      <c r="J87" s="47">
        <f>I87</f>
        <v>2</v>
      </c>
    </row>
    <row r="88" spans="1:10" ht="17.25" x14ac:dyDescent="0.25">
      <c r="A88" s="10"/>
      <c r="B88" s="28" t="s">
        <v>159</v>
      </c>
      <c r="C88" s="5"/>
      <c r="D88" s="5"/>
      <c r="E88" s="5" t="s">
        <v>48</v>
      </c>
      <c r="F88" s="4" t="s">
        <v>19</v>
      </c>
      <c r="G88" s="4"/>
      <c r="H88" s="4">
        <v>4</v>
      </c>
      <c r="I88" s="4">
        <f>$G$83*H88</f>
        <v>4</v>
      </c>
      <c r="J88" s="47">
        <f>I88</f>
        <v>4</v>
      </c>
    </row>
    <row r="89" spans="1:10" ht="17.25" x14ac:dyDescent="0.25">
      <c r="A89" s="10"/>
      <c r="B89" s="28" t="s">
        <v>160</v>
      </c>
      <c r="C89" s="5"/>
      <c r="D89" s="5"/>
      <c r="E89" s="5" t="s">
        <v>145</v>
      </c>
      <c r="F89" s="4" t="s">
        <v>145</v>
      </c>
      <c r="G89" s="4"/>
      <c r="H89" s="4">
        <v>1</v>
      </c>
      <c r="I89" s="4">
        <f>$G$83*H89</f>
        <v>1</v>
      </c>
      <c r="J89" s="47">
        <f>I89</f>
        <v>1</v>
      </c>
    </row>
    <row r="90" spans="1:10" ht="17.25" x14ac:dyDescent="0.25">
      <c r="A90" s="10"/>
      <c r="B90" s="28" t="s">
        <v>161</v>
      </c>
      <c r="C90" s="5"/>
      <c r="D90" s="5"/>
      <c r="E90" s="5" t="s">
        <v>112</v>
      </c>
      <c r="F90" s="4" t="s">
        <v>112</v>
      </c>
      <c r="G90" s="4"/>
      <c r="H90" s="4">
        <v>7</v>
      </c>
      <c r="I90" s="4">
        <f>$G$83*H90</f>
        <v>7</v>
      </c>
      <c r="J90" s="47">
        <f>I90</f>
        <v>7</v>
      </c>
    </row>
    <row r="91" spans="1:10" ht="17.25" x14ac:dyDescent="0.25">
      <c r="A91" s="10"/>
      <c r="B91" s="28" t="s">
        <v>162</v>
      </c>
      <c r="C91" s="5"/>
      <c r="D91" s="5"/>
      <c r="E91" s="5" t="s">
        <v>47</v>
      </c>
      <c r="F91" s="4" t="s">
        <v>50</v>
      </c>
      <c r="G91" s="4"/>
      <c r="H91" s="4">
        <v>4</v>
      </c>
      <c r="I91" s="4">
        <f>$G$83*H91</f>
        <v>4</v>
      </c>
      <c r="J91" s="47">
        <f>I91</f>
        <v>4</v>
      </c>
    </row>
    <row r="92" spans="1:10" ht="17.25" x14ac:dyDescent="0.25">
      <c r="A92" s="10"/>
      <c r="B92" s="28" t="s">
        <v>163</v>
      </c>
      <c r="C92" s="5"/>
      <c r="D92" s="5"/>
      <c r="E92" s="5" t="s">
        <v>146</v>
      </c>
      <c r="F92" s="4" t="s">
        <v>147</v>
      </c>
      <c r="G92" s="4"/>
      <c r="H92" s="4">
        <v>4</v>
      </c>
      <c r="I92" s="4">
        <f>$G$83*H92</f>
        <v>4</v>
      </c>
      <c r="J92" s="47">
        <f>I92</f>
        <v>4</v>
      </c>
    </row>
    <row r="93" spans="1:10" ht="17.25" x14ac:dyDescent="0.25">
      <c r="A93" s="10"/>
      <c r="B93" s="28" t="s">
        <v>164</v>
      </c>
      <c r="C93" s="5"/>
      <c r="D93" s="5"/>
      <c r="E93" s="5" t="s">
        <v>148</v>
      </c>
      <c r="F93" s="4" t="s">
        <v>148</v>
      </c>
      <c r="G93" s="4"/>
      <c r="H93" s="4">
        <v>4</v>
      </c>
      <c r="I93" s="4">
        <f>$G$83*H93</f>
        <v>4</v>
      </c>
      <c r="J93" s="47">
        <f>I93</f>
        <v>4</v>
      </c>
    </row>
    <row r="94" spans="1:10" ht="17.25" x14ac:dyDescent="0.25">
      <c r="A94" s="10"/>
      <c r="B94" s="28" t="s">
        <v>165</v>
      </c>
      <c r="C94" s="5"/>
      <c r="D94" s="5"/>
      <c r="E94" s="5" t="s">
        <v>149</v>
      </c>
      <c r="F94" s="4" t="s">
        <v>149</v>
      </c>
      <c r="G94" s="4"/>
      <c r="H94" s="4">
        <v>4</v>
      </c>
      <c r="I94" s="4">
        <f>$G$83*H94</f>
        <v>4</v>
      </c>
      <c r="J94" s="47">
        <f>I94</f>
        <v>4</v>
      </c>
    </row>
    <row r="95" spans="1:10" ht="17.25" x14ac:dyDescent="0.25">
      <c r="A95" s="10"/>
      <c r="B95" s="28" t="s">
        <v>166</v>
      </c>
      <c r="C95" s="5"/>
      <c r="D95" s="5"/>
      <c r="E95" s="5" t="s">
        <v>150</v>
      </c>
      <c r="F95" s="4" t="s">
        <v>52</v>
      </c>
      <c r="G95" s="4"/>
      <c r="H95" s="4">
        <v>4</v>
      </c>
      <c r="I95" s="4">
        <f>$G$83*H95</f>
        <v>4</v>
      </c>
      <c r="J95" s="47">
        <f>I95</f>
        <v>4</v>
      </c>
    </row>
    <row r="96" spans="1:10" ht="17.25" x14ac:dyDescent="0.25">
      <c r="A96" s="10"/>
      <c r="B96" s="28" t="s">
        <v>167</v>
      </c>
      <c r="C96" s="5"/>
      <c r="D96" s="5"/>
      <c r="E96" s="5" t="s">
        <v>111</v>
      </c>
      <c r="F96" s="4" t="s">
        <v>111</v>
      </c>
      <c r="G96" s="4"/>
      <c r="H96" s="4">
        <v>4</v>
      </c>
      <c r="I96" s="4">
        <f>$G$83*H96</f>
        <v>4</v>
      </c>
      <c r="J96" s="47">
        <f>I96</f>
        <v>4</v>
      </c>
    </row>
    <row r="97" spans="1:10" ht="17.25" x14ac:dyDescent="0.25">
      <c r="A97" s="10"/>
      <c r="B97" s="28" t="s">
        <v>168</v>
      </c>
      <c r="C97" s="5"/>
      <c r="D97" s="5"/>
      <c r="E97" s="5" t="s">
        <v>151</v>
      </c>
      <c r="F97" s="4" t="s">
        <v>101</v>
      </c>
      <c r="G97" s="4"/>
      <c r="H97" s="4">
        <v>1</v>
      </c>
      <c r="I97" s="4">
        <f>$G$83*H97</f>
        <v>1</v>
      </c>
      <c r="J97" s="47">
        <f>I97</f>
        <v>1</v>
      </c>
    </row>
    <row r="98" spans="1:10" ht="18" thickBot="1" x14ac:dyDescent="0.3">
      <c r="A98" s="14"/>
      <c r="B98" s="29" t="s">
        <v>169</v>
      </c>
      <c r="C98" s="16"/>
      <c r="D98" s="16"/>
      <c r="E98" s="16" t="s">
        <v>35</v>
      </c>
      <c r="F98" s="15" t="s">
        <v>113</v>
      </c>
      <c r="G98" s="15"/>
      <c r="H98" s="15">
        <v>3</v>
      </c>
      <c r="I98" s="4">
        <f>$G$83*H98</f>
        <v>3</v>
      </c>
      <c r="J98" s="47">
        <f>I98</f>
        <v>3</v>
      </c>
    </row>
    <row r="99" spans="1:10" ht="17.25" x14ac:dyDescent="0.25">
      <c r="A99" s="40">
        <v>9</v>
      </c>
      <c r="B99" s="31"/>
      <c r="C99" s="8"/>
      <c r="D99" s="8" t="s">
        <v>21</v>
      </c>
      <c r="E99" s="8"/>
      <c r="F99" s="9"/>
      <c r="G99" s="9">
        <v>1</v>
      </c>
      <c r="H99" s="7"/>
      <c r="I99" s="7"/>
      <c r="J99" s="48"/>
    </row>
    <row r="100" spans="1:10" ht="17.25" x14ac:dyDescent="0.25">
      <c r="A100" s="10"/>
      <c r="B100" s="28" t="s">
        <v>174</v>
      </c>
      <c r="C100" s="5"/>
      <c r="D100" s="5"/>
      <c r="E100" s="5" t="s">
        <v>183</v>
      </c>
      <c r="F100" s="4" t="s">
        <v>52</v>
      </c>
      <c r="G100" s="4"/>
      <c r="H100" s="4">
        <v>1</v>
      </c>
      <c r="I100" s="4">
        <f>$G$99*H100</f>
        <v>1</v>
      </c>
      <c r="J100" s="47">
        <f>I100</f>
        <v>1</v>
      </c>
    </row>
    <row r="101" spans="1:10" ht="17.25" x14ac:dyDescent="0.25">
      <c r="A101" s="10"/>
      <c r="B101" s="28" t="s">
        <v>175</v>
      </c>
      <c r="C101" s="5"/>
      <c r="D101" s="5"/>
      <c r="E101" s="5" t="s">
        <v>36</v>
      </c>
      <c r="F101" s="4" t="s">
        <v>90</v>
      </c>
      <c r="G101" s="4"/>
      <c r="H101" s="4">
        <v>1</v>
      </c>
      <c r="I101" s="4">
        <f>$G$99*H101</f>
        <v>1</v>
      </c>
      <c r="J101" s="47">
        <f>I101</f>
        <v>1</v>
      </c>
    </row>
    <row r="102" spans="1:10" ht="17.25" x14ac:dyDescent="0.25">
      <c r="A102" s="10"/>
      <c r="B102" s="28" t="s">
        <v>176</v>
      </c>
      <c r="C102" s="5"/>
      <c r="D102" s="5"/>
      <c r="E102" s="5" t="s">
        <v>102</v>
      </c>
      <c r="F102" s="4" t="s">
        <v>117</v>
      </c>
      <c r="G102" s="4"/>
      <c r="H102" s="4">
        <v>4</v>
      </c>
      <c r="I102" s="4">
        <f>$G$99*H102</f>
        <v>4</v>
      </c>
      <c r="J102" s="47">
        <f>I102</f>
        <v>4</v>
      </c>
    </row>
    <row r="103" spans="1:10" ht="17.25" x14ac:dyDescent="0.25">
      <c r="A103" s="10"/>
      <c r="B103" s="28" t="s">
        <v>177</v>
      </c>
      <c r="C103" s="5"/>
      <c r="D103" s="5"/>
      <c r="E103" s="5" t="s">
        <v>32</v>
      </c>
      <c r="F103" s="4" t="s">
        <v>17</v>
      </c>
      <c r="G103" s="4"/>
      <c r="H103" s="4">
        <v>1</v>
      </c>
      <c r="I103" s="4">
        <f>$G$99*H103</f>
        <v>1</v>
      </c>
      <c r="J103" s="47">
        <f>I103</f>
        <v>1</v>
      </c>
    </row>
    <row r="104" spans="1:10" ht="17.25" x14ac:dyDescent="0.25">
      <c r="A104" s="10"/>
      <c r="B104" s="28" t="s">
        <v>178</v>
      </c>
      <c r="C104" s="5"/>
      <c r="D104" s="5"/>
      <c r="E104" s="5" t="s">
        <v>34</v>
      </c>
      <c r="F104" s="4" t="s">
        <v>5</v>
      </c>
      <c r="G104" s="4"/>
      <c r="H104" s="4">
        <v>1</v>
      </c>
      <c r="I104" s="4">
        <f>$G$99*H104</f>
        <v>1</v>
      </c>
      <c r="J104" s="47">
        <f>I104</f>
        <v>1</v>
      </c>
    </row>
    <row r="105" spans="1:10" ht="17.25" x14ac:dyDescent="0.25">
      <c r="A105" s="10"/>
      <c r="B105" s="28" t="s">
        <v>179</v>
      </c>
      <c r="C105" s="5"/>
      <c r="D105" s="5"/>
      <c r="E105" s="5" t="s">
        <v>39</v>
      </c>
      <c r="F105" s="4" t="s">
        <v>39</v>
      </c>
      <c r="G105" s="4"/>
      <c r="H105" s="4">
        <v>2</v>
      </c>
      <c r="I105" s="4">
        <f>$G$99*H105</f>
        <v>2</v>
      </c>
      <c r="J105" s="47">
        <f>I105</f>
        <v>2</v>
      </c>
    </row>
    <row r="106" spans="1:10" ht="17.25" x14ac:dyDescent="0.25">
      <c r="A106" s="10"/>
      <c r="B106" s="28" t="s">
        <v>180</v>
      </c>
      <c r="C106" s="5"/>
      <c r="D106" s="5"/>
      <c r="E106" s="5" t="s">
        <v>93</v>
      </c>
      <c r="F106" s="4" t="s">
        <v>94</v>
      </c>
      <c r="G106" s="4"/>
      <c r="H106" s="4">
        <v>1</v>
      </c>
      <c r="I106" s="4">
        <f>$G$99*H106</f>
        <v>1</v>
      </c>
      <c r="J106" s="47">
        <f>I106</f>
        <v>1</v>
      </c>
    </row>
    <row r="107" spans="1:10" ht="17.25" x14ac:dyDescent="0.25">
      <c r="A107" s="10"/>
      <c r="B107" s="28" t="s">
        <v>181</v>
      </c>
      <c r="C107" s="5"/>
      <c r="D107" s="5"/>
      <c r="E107" s="5" t="s">
        <v>37</v>
      </c>
      <c r="F107" s="4" t="s">
        <v>91</v>
      </c>
      <c r="G107" s="4"/>
      <c r="H107" s="4">
        <v>1</v>
      </c>
      <c r="I107" s="4">
        <f>$G$99*H107</f>
        <v>1</v>
      </c>
      <c r="J107" s="47">
        <f>I107</f>
        <v>1</v>
      </c>
    </row>
    <row r="108" spans="1:10" ht="18" thickBot="1" x14ac:dyDescent="0.3">
      <c r="A108" s="14"/>
      <c r="B108" s="29" t="s">
        <v>182</v>
      </c>
      <c r="C108" s="16"/>
      <c r="D108" s="16"/>
      <c r="E108" s="16" t="s">
        <v>172</v>
      </c>
      <c r="F108" s="15" t="s">
        <v>92</v>
      </c>
      <c r="G108" s="15"/>
      <c r="H108" s="15">
        <v>2</v>
      </c>
      <c r="I108" s="4">
        <f>$G$99*H108</f>
        <v>2</v>
      </c>
      <c r="J108" s="47">
        <f>I108</f>
        <v>2</v>
      </c>
    </row>
    <row r="109" spans="1:10" ht="17.25" x14ac:dyDescent="0.25">
      <c r="A109" s="40">
        <v>10</v>
      </c>
      <c r="B109" s="31"/>
      <c r="C109" s="8"/>
      <c r="D109" s="8" t="s">
        <v>22</v>
      </c>
      <c r="E109" s="8"/>
      <c r="F109" s="9"/>
      <c r="G109" s="9">
        <v>1</v>
      </c>
      <c r="H109" s="7"/>
      <c r="I109" s="7"/>
      <c r="J109" s="48"/>
    </row>
    <row r="110" spans="1:10" ht="17.25" x14ac:dyDescent="0.25">
      <c r="A110" s="10"/>
      <c r="B110" s="28" t="s">
        <v>185</v>
      </c>
      <c r="C110" s="5"/>
      <c r="D110" s="5"/>
      <c r="E110" s="5" t="s">
        <v>37</v>
      </c>
      <c r="F110" s="4" t="s">
        <v>91</v>
      </c>
      <c r="G110" s="4"/>
      <c r="H110" s="4">
        <v>1</v>
      </c>
      <c r="I110" s="4">
        <f>$G$109*H110</f>
        <v>1</v>
      </c>
      <c r="J110" s="47">
        <f>I110</f>
        <v>1</v>
      </c>
    </row>
    <row r="111" spans="1:10" ht="17.25" x14ac:dyDescent="0.25">
      <c r="A111" s="10"/>
      <c r="B111" s="28" t="s">
        <v>186</v>
      </c>
      <c r="C111" s="5"/>
      <c r="D111" s="5"/>
      <c r="E111" s="5" t="s">
        <v>282</v>
      </c>
      <c r="F111" s="4" t="s">
        <v>184</v>
      </c>
      <c r="G111" s="4"/>
      <c r="H111" s="4">
        <v>1</v>
      </c>
      <c r="I111" s="4">
        <f>$G$109*H111</f>
        <v>1</v>
      </c>
      <c r="J111" s="47">
        <f>I111</f>
        <v>1</v>
      </c>
    </row>
    <row r="112" spans="1:10" ht="17.25" x14ac:dyDescent="0.25">
      <c r="A112" s="10"/>
      <c r="B112" s="28" t="s">
        <v>187</v>
      </c>
      <c r="C112" s="5"/>
      <c r="D112" s="5"/>
      <c r="E112" s="5" t="s">
        <v>173</v>
      </c>
      <c r="F112" s="4" t="s">
        <v>173</v>
      </c>
      <c r="G112" s="4"/>
      <c r="H112" s="4">
        <v>1</v>
      </c>
      <c r="I112" s="4">
        <f>$G$109*H112</f>
        <v>1</v>
      </c>
      <c r="J112" s="47">
        <f>I112</f>
        <v>1</v>
      </c>
    </row>
    <row r="113" spans="1:10" ht="17.25" x14ac:dyDescent="0.25">
      <c r="A113" s="10"/>
      <c r="B113" s="28" t="s">
        <v>188</v>
      </c>
      <c r="C113" s="5"/>
      <c r="D113" s="5"/>
      <c r="E113" s="5" t="s">
        <v>39</v>
      </c>
      <c r="F113" s="4" t="s">
        <v>39</v>
      </c>
      <c r="G113" s="4"/>
      <c r="H113" s="4">
        <v>1</v>
      </c>
      <c r="I113" s="4">
        <f>$G$109*H113</f>
        <v>1</v>
      </c>
      <c r="J113" s="47">
        <f>I113</f>
        <v>1</v>
      </c>
    </row>
    <row r="114" spans="1:10" ht="17.25" x14ac:dyDescent="0.25">
      <c r="A114" s="10"/>
      <c r="B114" s="28" t="s">
        <v>189</v>
      </c>
      <c r="C114" s="5"/>
      <c r="D114" s="5"/>
      <c r="E114" s="5" t="s">
        <v>32</v>
      </c>
      <c r="F114" s="4" t="s">
        <v>17</v>
      </c>
      <c r="G114" s="4"/>
      <c r="H114" s="4">
        <v>1</v>
      </c>
      <c r="I114" s="4">
        <f>$G$109*H114</f>
        <v>1</v>
      </c>
      <c r="J114" s="47">
        <f>I114</f>
        <v>1</v>
      </c>
    </row>
    <row r="115" spans="1:10" ht="18" thickBot="1" x14ac:dyDescent="0.3">
      <c r="A115" s="14"/>
      <c r="B115" s="29" t="s">
        <v>190</v>
      </c>
      <c r="C115" s="16"/>
      <c r="D115" s="16"/>
      <c r="E115" s="16" t="s">
        <v>172</v>
      </c>
      <c r="F115" s="15" t="s">
        <v>92</v>
      </c>
      <c r="G115" s="15"/>
      <c r="H115" s="15">
        <v>1</v>
      </c>
      <c r="I115" s="4">
        <f>$G$109*H115</f>
        <v>1</v>
      </c>
      <c r="J115" s="47">
        <f>I115</f>
        <v>1</v>
      </c>
    </row>
    <row r="116" spans="1:10" ht="17.25" x14ac:dyDescent="0.25">
      <c r="A116" s="40" t="s">
        <v>192</v>
      </c>
      <c r="B116" s="31"/>
      <c r="C116" s="8"/>
      <c r="D116" s="8" t="s">
        <v>23</v>
      </c>
      <c r="E116" s="8"/>
      <c r="F116" s="9"/>
      <c r="G116" s="9">
        <v>2</v>
      </c>
      <c r="H116" s="7"/>
      <c r="I116" s="7"/>
      <c r="J116" s="48"/>
    </row>
    <row r="117" spans="1:10" ht="17.25" x14ac:dyDescent="0.25">
      <c r="A117" s="10"/>
      <c r="B117" s="28" t="s">
        <v>194</v>
      </c>
      <c r="C117" s="5"/>
      <c r="D117" s="5"/>
      <c r="E117" s="5" t="s">
        <v>193</v>
      </c>
      <c r="F117" s="4" t="s">
        <v>52</v>
      </c>
      <c r="G117" s="4"/>
      <c r="H117" s="4">
        <v>1</v>
      </c>
      <c r="I117" s="4">
        <f>$G$116*H117</f>
        <v>2</v>
      </c>
      <c r="J117" s="47">
        <f>I117</f>
        <v>2</v>
      </c>
    </row>
    <row r="118" spans="1:10" ht="17.25" x14ac:dyDescent="0.25">
      <c r="A118" s="10"/>
      <c r="B118" s="28" t="s">
        <v>195</v>
      </c>
      <c r="C118" s="5"/>
      <c r="D118" s="5"/>
      <c r="E118" s="5" t="s">
        <v>33</v>
      </c>
      <c r="F118" s="4" t="s">
        <v>8</v>
      </c>
      <c r="G118" s="4"/>
      <c r="H118" s="4">
        <v>2</v>
      </c>
      <c r="I118" s="4">
        <f>$G$116*H118</f>
        <v>4</v>
      </c>
      <c r="J118" s="47">
        <f>I118</f>
        <v>4</v>
      </c>
    </row>
    <row r="119" spans="1:10" ht="17.25" x14ac:dyDescent="0.25">
      <c r="A119" s="10"/>
      <c r="B119" s="28" t="s">
        <v>196</v>
      </c>
      <c r="C119" s="5"/>
      <c r="D119" s="5"/>
      <c r="E119" s="5" t="s">
        <v>34</v>
      </c>
      <c r="F119" s="4" t="s">
        <v>5</v>
      </c>
      <c r="G119" s="4"/>
      <c r="H119" s="4">
        <v>6</v>
      </c>
      <c r="I119" s="4">
        <f>$G$116*H119</f>
        <v>12</v>
      </c>
      <c r="J119" s="47">
        <f>I119</f>
        <v>12</v>
      </c>
    </row>
    <row r="120" spans="1:10" ht="17.25" x14ac:dyDescent="0.25">
      <c r="A120" s="10"/>
      <c r="B120" s="28" t="s">
        <v>197</v>
      </c>
      <c r="C120" s="5"/>
      <c r="D120" s="5"/>
      <c r="E120" s="5" t="s">
        <v>39</v>
      </c>
      <c r="F120" s="4" t="s">
        <v>39</v>
      </c>
      <c r="G120" s="4"/>
      <c r="H120" s="4">
        <v>6</v>
      </c>
      <c r="I120" s="4">
        <f>$G$116*H120</f>
        <v>12</v>
      </c>
      <c r="J120" s="47">
        <f>I120</f>
        <v>12</v>
      </c>
    </row>
    <row r="121" spans="1:10" ht="18" thickBot="1" x14ac:dyDescent="0.3">
      <c r="A121" s="14"/>
      <c r="B121" s="29" t="s">
        <v>198</v>
      </c>
      <c r="C121" s="16"/>
      <c r="D121" s="16"/>
      <c r="E121" s="16" t="s">
        <v>199</v>
      </c>
      <c r="F121" s="15" t="s">
        <v>199</v>
      </c>
      <c r="G121" s="15"/>
      <c r="H121" s="15">
        <v>2</v>
      </c>
      <c r="I121" s="4">
        <f>$G$116*H121</f>
        <v>4</v>
      </c>
      <c r="J121" s="47">
        <f>I121</f>
        <v>4</v>
      </c>
    </row>
    <row r="122" spans="1:10" ht="17.25" x14ac:dyDescent="0.25">
      <c r="A122" s="40" t="s">
        <v>200</v>
      </c>
      <c r="B122" s="31"/>
      <c r="C122" s="8"/>
      <c r="D122" s="8" t="s">
        <v>24</v>
      </c>
      <c r="E122" s="8"/>
      <c r="F122" s="9"/>
      <c r="G122" s="9">
        <v>1</v>
      </c>
      <c r="H122" s="7"/>
      <c r="I122" s="7"/>
      <c r="J122" s="48"/>
    </row>
    <row r="123" spans="1:10" ht="17.25" x14ac:dyDescent="0.25">
      <c r="A123" s="10"/>
      <c r="B123" s="28" t="s">
        <v>210</v>
      </c>
      <c r="C123" s="5"/>
      <c r="D123" s="5"/>
      <c r="E123" s="5" t="s">
        <v>201</v>
      </c>
      <c r="F123" s="4" t="s">
        <v>207</v>
      </c>
      <c r="G123" s="4"/>
      <c r="H123" s="4">
        <v>1</v>
      </c>
      <c r="I123" s="4">
        <f>$G$122*H123</f>
        <v>1</v>
      </c>
      <c r="J123" s="47">
        <f>I123</f>
        <v>1</v>
      </c>
    </row>
    <row r="124" spans="1:10" ht="17.25" x14ac:dyDescent="0.25">
      <c r="A124" s="10"/>
      <c r="B124" s="28" t="s">
        <v>211</v>
      </c>
      <c r="C124" s="5"/>
      <c r="D124" s="5"/>
      <c r="E124" s="5" t="s">
        <v>203</v>
      </c>
      <c r="F124" s="4" t="s">
        <v>202</v>
      </c>
      <c r="G124" s="4"/>
      <c r="H124" s="4">
        <v>2</v>
      </c>
      <c r="I124" s="4">
        <f>$G$122*H124</f>
        <v>2</v>
      </c>
      <c r="J124" s="47">
        <f>I124</f>
        <v>2</v>
      </c>
    </row>
    <row r="125" spans="1:10" ht="17.25" x14ac:dyDescent="0.25">
      <c r="A125" s="10"/>
      <c r="B125" s="28" t="s">
        <v>212</v>
      </c>
      <c r="C125" s="5"/>
      <c r="D125" s="5"/>
      <c r="E125" s="5" t="s">
        <v>204</v>
      </c>
      <c r="F125" s="4" t="s">
        <v>208</v>
      </c>
      <c r="G125" s="4"/>
      <c r="H125" s="4">
        <v>6</v>
      </c>
      <c r="I125" s="4">
        <f>$G$122*H125</f>
        <v>6</v>
      </c>
      <c r="J125" s="47">
        <f>I125</f>
        <v>6</v>
      </c>
    </row>
    <row r="126" spans="1:10" ht="17.25" x14ac:dyDescent="0.25">
      <c r="A126" s="10"/>
      <c r="B126" s="28" t="s">
        <v>213</v>
      </c>
      <c r="C126" s="5"/>
      <c r="D126" s="5"/>
      <c r="E126" s="5" t="s">
        <v>34</v>
      </c>
      <c r="F126" s="4" t="s">
        <v>5</v>
      </c>
      <c r="G126" s="4"/>
      <c r="H126" s="4">
        <v>4</v>
      </c>
      <c r="I126" s="4">
        <f>$G$122*H126</f>
        <v>4</v>
      </c>
      <c r="J126" s="47">
        <f>I126</f>
        <v>4</v>
      </c>
    </row>
    <row r="127" spans="1:10" ht="17.25" x14ac:dyDescent="0.25">
      <c r="A127" s="10"/>
      <c r="B127" s="28" t="s">
        <v>214</v>
      </c>
      <c r="C127" s="5"/>
      <c r="D127" s="5"/>
      <c r="E127" s="5" t="s">
        <v>39</v>
      </c>
      <c r="F127" s="4" t="s">
        <v>39</v>
      </c>
      <c r="G127" s="4"/>
      <c r="H127" s="4">
        <v>5</v>
      </c>
      <c r="I127" s="4">
        <f>$G$122*H127</f>
        <v>5</v>
      </c>
      <c r="J127" s="47">
        <f>I127</f>
        <v>5</v>
      </c>
    </row>
    <row r="128" spans="1:10" ht="17.25" x14ac:dyDescent="0.25">
      <c r="A128" s="10"/>
      <c r="B128" s="28" t="s">
        <v>215</v>
      </c>
      <c r="C128" s="5"/>
      <c r="D128" s="5"/>
      <c r="E128" s="5" t="s">
        <v>205</v>
      </c>
      <c r="F128" s="4" t="s">
        <v>101</v>
      </c>
      <c r="G128" s="4"/>
      <c r="H128" s="4">
        <v>1</v>
      </c>
      <c r="I128" s="4">
        <f>$G$122*H128</f>
        <v>1</v>
      </c>
      <c r="J128" s="47">
        <f>I128</f>
        <v>1</v>
      </c>
    </row>
    <row r="129" spans="1:10" ht="17.25" x14ac:dyDescent="0.25">
      <c r="A129" s="10"/>
      <c r="B129" s="28" t="s">
        <v>216</v>
      </c>
      <c r="C129" s="5"/>
      <c r="D129" s="5"/>
      <c r="E129" s="5" t="s">
        <v>206</v>
      </c>
      <c r="F129" s="4" t="s">
        <v>209</v>
      </c>
      <c r="G129" s="4"/>
      <c r="H129" s="4">
        <v>1</v>
      </c>
      <c r="I129" s="4">
        <f>$G$122*H129</f>
        <v>1</v>
      </c>
      <c r="J129" s="47">
        <f>I129</f>
        <v>1</v>
      </c>
    </row>
    <row r="130" spans="1:10" ht="18" thickBot="1" x14ac:dyDescent="0.3">
      <c r="A130" s="14"/>
      <c r="B130" s="29" t="s">
        <v>217</v>
      </c>
      <c r="C130" s="16"/>
      <c r="D130" s="16"/>
      <c r="E130" s="16" t="s">
        <v>54</v>
      </c>
      <c r="F130" s="15" t="s">
        <v>4</v>
      </c>
      <c r="G130" s="15"/>
      <c r="H130" s="15">
        <v>1</v>
      </c>
      <c r="I130" s="4">
        <f>$G$122*H130</f>
        <v>1</v>
      </c>
      <c r="J130" s="47">
        <f>I130</f>
        <v>1</v>
      </c>
    </row>
    <row r="131" spans="1:10" ht="17.25" x14ac:dyDescent="0.25">
      <c r="A131" s="40" t="s">
        <v>226</v>
      </c>
      <c r="B131" s="31"/>
      <c r="C131" s="8"/>
      <c r="D131" s="8" t="s">
        <v>25</v>
      </c>
      <c r="E131" s="8"/>
      <c r="F131" s="9"/>
      <c r="G131" s="9">
        <v>1</v>
      </c>
      <c r="H131" s="7"/>
      <c r="I131" s="7"/>
      <c r="J131" s="48"/>
    </row>
    <row r="132" spans="1:10" ht="17.25" x14ac:dyDescent="0.25">
      <c r="A132" s="10"/>
      <c r="B132" s="28" t="s">
        <v>227</v>
      </c>
      <c r="C132" s="5"/>
      <c r="D132" s="5"/>
      <c r="E132" s="5" t="s">
        <v>220</v>
      </c>
      <c r="F132" s="4" t="s">
        <v>223</v>
      </c>
      <c r="G132" s="4"/>
      <c r="H132" s="4">
        <v>1</v>
      </c>
      <c r="I132" s="4">
        <f>$G$131*H132</f>
        <v>1</v>
      </c>
      <c r="J132" s="47">
        <f>I132</f>
        <v>1</v>
      </c>
    </row>
    <row r="133" spans="1:10" ht="17.25" x14ac:dyDescent="0.25">
      <c r="A133" s="10"/>
      <c r="B133" s="28" t="s">
        <v>228</v>
      </c>
      <c r="C133" s="5"/>
      <c r="D133" s="5"/>
      <c r="E133" s="5" t="s">
        <v>219</v>
      </c>
      <c r="F133" s="4" t="s">
        <v>101</v>
      </c>
      <c r="G133" s="4"/>
      <c r="H133" s="4">
        <v>1</v>
      </c>
      <c r="I133" s="4">
        <f>$G$131*H133</f>
        <v>1</v>
      </c>
      <c r="J133" s="47">
        <f>I133</f>
        <v>1</v>
      </c>
    </row>
    <row r="134" spans="1:10" ht="17.25" x14ac:dyDescent="0.25">
      <c r="A134" s="10"/>
      <c r="B134" s="28" t="s">
        <v>229</v>
      </c>
      <c r="C134" s="5"/>
      <c r="D134" s="5"/>
      <c r="E134" s="5" t="s">
        <v>221</v>
      </c>
      <c r="F134" s="4" t="s">
        <v>222</v>
      </c>
      <c r="G134" s="4"/>
      <c r="H134" s="4">
        <v>1</v>
      </c>
      <c r="I134" s="4">
        <f>$G$131*H134</f>
        <v>1</v>
      </c>
      <c r="J134" s="47">
        <f>I134</f>
        <v>1</v>
      </c>
    </row>
    <row r="135" spans="1:10" ht="17.25" x14ac:dyDescent="0.25">
      <c r="A135" s="10"/>
      <c r="B135" s="28" t="s">
        <v>230</v>
      </c>
      <c r="C135" s="5"/>
      <c r="D135" s="5"/>
      <c r="E135" s="5" t="s">
        <v>218</v>
      </c>
      <c r="F135" s="4" t="s">
        <v>224</v>
      </c>
      <c r="G135" s="4"/>
      <c r="H135" s="4">
        <v>1</v>
      </c>
      <c r="I135" s="4">
        <f>$G$131*H135</f>
        <v>1</v>
      </c>
      <c r="J135" s="47">
        <f>I135</f>
        <v>1</v>
      </c>
    </row>
    <row r="136" spans="1:10" ht="17.25" x14ac:dyDescent="0.25">
      <c r="A136" s="10"/>
      <c r="B136" s="28" t="s">
        <v>231</v>
      </c>
      <c r="C136" s="5"/>
      <c r="D136" s="5"/>
      <c r="E136" s="5" t="s">
        <v>34</v>
      </c>
      <c r="F136" s="4" t="s">
        <v>5</v>
      </c>
      <c r="G136" s="4"/>
      <c r="H136" s="4">
        <v>3</v>
      </c>
      <c r="I136" s="4">
        <f>$G$131*H136</f>
        <v>3</v>
      </c>
      <c r="J136" s="47">
        <f>I136</f>
        <v>3</v>
      </c>
    </row>
    <row r="137" spans="1:10" ht="17.25" x14ac:dyDescent="0.25">
      <c r="A137" s="10"/>
      <c r="B137" s="28" t="s">
        <v>232</v>
      </c>
      <c r="C137" s="5"/>
      <c r="D137" s="5"/>
      <c r="E137" s="5" t="s">
        <v>39</v>
      </c>
      <c r="F137" s="4" t="s">
        <v>39</v>
      </c>
      <c r="G137" s="4"/>
      <c r="H137" s="4">
        <v>3</v>
      </c>
      <c r="I137" s="4">
        <f>$G$131*H137</f>
        <v>3</v>
      </c>
      <c r="J137" s="47">
        <f>I137</f>
        <v>3</v>
      </c>
    </row>
    <row r="138" spans="1:10" ht="17.25" x14ac:dyDescent="0.25">
      <c r="A138" s="10"/>
      <c r="B138" s="28" t="s">
        <v>233</v>
      </c>
      <c r="C138" s="5"/>
      <c r="D138" s="5"/>
      <c r="E138" s="5" t="s">
        <v>47</v>
      </c>
      <c r="F138" s="4" t="s">
        <v>50</v>
      </c>
      <c r="G138" s="4"/>
      <c r="H138" s="4">
        <v>8</v>
      </c>
      <c r="I138" s="4">
        <f>$G$131*H138</f>
        <v>8</v>
      </c>
      <c r="J138" s="47">
        <f>I138</f>
        <v>8</v>
      </c>
    </row>
    <row r="139" spans="1:10" ht="17.25" customHeight="1" x14ac:dyDescent="0.25">
      <c r="A139" s="10"/>
      <c r="B139" s="28" t="s">
        <v>234</v>
      </c>
      <c r="C139" s="5"/>
      <c r="D139" s="5"/>
      <c r="E139" s="5" t="s">
        <v>225</v>
      </c>
      <c r="F139" s="4" t="s">
        <v>225</v>
      </c>
      <c r="G139" s="4"/>
      <c r="H139" s="4">
        <v>1</v>
      </c>
      <c r="I139" s="4">
        <f>$G$131*H139</f>
        <v>1</v>
      </c>
      <c r="J139" s="47">
        <f>I139</f>
        <v>1</v>
      </c>
    </row>
    <row r="140" spans="1:10" ht="17.25" customHeight="1" x14ac:dyDescent="0.25">
      <c r="A140" s="10"/>
      <c r="B140" s="28" t="s">
        <v>235</v>
      </c>
      <c r="C140" s="5"/>
      <c r="D140" s="5"/>
      <c r="E140" s="5" t="s">
        <v>35</v>
      </c>
      <c r="F140" s="4" t="s">
        <v>113</v>
      </c>
      <c r="G140" s="4"/>
      <c r="H140" s="4">
        <v>4</v>
      </c>
      <c r="I140" s="4">
        <f>$G$131*H140</f>
        <v>4</v>
      </c>
      <c r="J140" s="47">
        <f>I140</f>
        <v>4</v>
      </c>
    </row>
    <row r="141" spans="1:10" ht="18" thickBot="1" x14ac:dyDescent="0.3">
      <c r="A141" s="14"/>
      <c r="B141" s="29" t="s">
        <v>236</v>
      </c>
      <c r="C141" s="16"/>
      <c r="D141" s="16"/>
      <c r="E141" s="16" t="s">
        <v>111</v>
      </c>
      <c r="F141" s="15" t="s">
        <v>111</v>
      </c>
      <c r="G141" s="15"/>
      <c r="H141" s="15">
        <v>4</v>
      </c>
      <c r="I141" s="4">
        <f>$G$131*H141</f>
        <v>4</v>
      </c>
      <c r="J141" s="47">
        <f>I141</f>
        <v>4</v>
      </c>
    </row>
    <row r="142" spans="1:10" ht="17.25" x14ac:dyDescent="0.25">
      <c r="A142" s="40" t="s">
        <v>191</v>
      </c>
      <c r="B142" s="31"/>
      <c r="C142" s="8"/>
      <c r="D142" s="8" t="s">
        <v>237</v>
      </c>
      <c r="E142" s="8"/>
      <c r="F142" s="9"/>
      <c r="G142" s="9">
        <v>1</v>
      </c>
      <c r="H142" s="7"/>
      <c r="I142" s="7"/>
      <c r="J142" s="48"/>
    </row>
    <row r="143" spans="1:10" ht="17.25" customHeight="1" x14ac:dyDescent="0.25">
      <c r="A143" s="10"/>
      <c r="B143" s="28" t="s">
        <v>238</v>
      </c>
      <c r="C143" s="5"/>
      <c r="D143" s="5"/>
      <c r="E143" s="5" t="s">
        <v>247</v>
      </c>
      <c r="F143" s="4" t="s">
        <v>244</v>
      </c>
      <c r="G143" s="4"/>
      <c r="H143" s="4">
        <v>1</v>
      </c>
      <c r="I143" s="4">
        <f>$G$142*H143</f>
        <v>1</v>
      </c>
      <c r="J143" s="47">
        <f>I143</f>
        <v>1</v>
      </c>
    </row>
    <row r="144" spans="1:10" ht="17.25" customHeight="1" x14ac:dyDescent="0.25">
      <c r="A144" s="10"/>
      <c r="B144" s="28" t="s">
        <v>239</v>
      </c>
      <c r="C144" s="5"/>
      <c r="D144" s="5"/>
      <c r="E144" s="5" t="s">
        <v>245</v>
      </c>
      <c r="F144" s="4" t="s">
        <v>101</v>
      </c>
      <c r="G144" s="4"/>
      <c r="H144" s="4">
        <v>1</v>
      </c>
      <c r="I144" s="4">
        <f>$G$142*H144</f>
        <v>1</v>
      </c>
      <c r="J144" s="47">
        <f>I144</f>
        <v>1</v>
      </c>
    </row>
    <row r="145" spans="1:10" ht="17.25" customHeight="1" x14ac:dyDescent="0.25">
      <c r="A145" s="10"/>
      <c r="B145" s="28" t="s">
        <v>240</v>
      </c>
      <c r="C145" s="5"/>
      <c r="D145" s="5"/>
      <c r="E145" s="5" t="s">
        <v>246</v>
      </c>
      <c r="F145" s="4" t="s">
        <v>101</v>
      </c>
      <c r="G145" s="4"/>
      <c r="H145" s="4">
        <v>1</v>
      </c>
      <c r="I145" s="4">
        <f>$G$142*H145</f>
        <v>1</v>
      </c>
      <c r="J145" s="47">
        <f>I145</f>
        <v>1</v>
      </c>
    </row>
    <row r="146" spans="1:10" ht="17.25" customHeight="1" x14ac:dyDescent="0.25">
      <c r="A146" s="10"/>
      <c r="B146" s="28" t="s">
        <v>241</v>
      </c>
      <c r="C146" s="5"/>
      <c r="D146" s="5"/>
      <c r="E146" s="5" t="s">
        <v>34</v>
      </c>
      <c r="F146" s="4" t="s">
        <v>5</v>
      </c>
      <c r="G146" s="4"/>
      <c r="H146" s="4">
        <v>4</v>
      </c>
      <c r="I146" s="4">
        <f>$G$142*H146</f>
        <v>4</v>
      </c>
      <c r="J146" s="47">
        <f>I146</f>
        <v>4</v>
      </c>
    </row>
    <row r="147" spans="1:10" ht="17.25" customHeight="1" x14ac:dyDescent="0.25">
      <c r="A147" s="10"/>
      <c r="B147" s="28" t="s">
        <v>242</v>
      </c>
      <c r="C147" s="5"/>
      <c r="D147" s="5"/>
      <c r="E147" s="5" t="s">
        <v>39</v>
      </c>
      <c r="F147" s="4" t="s">
        <v>39</v>
      </c>
      <c r="G147" s="4"/>
      <c r="H147" s="4">
        <v>4</v>
      </c>
      <c r="I147" s="4">
        <f>$G$142*H147</f>
        <v>4</v>
      </c>
      <c r="J147" s="47">
        <f>I147</f>
        <v>4</v>
      </c>
    </row>
    <row r="148" spans="1:10" ht="18" thickBot="1" x14ac:dyDescent="0.3">
      <c r="A148" s="14"/>
      <c r="B148" s="29" t="s">
        <v>243</v>
      </c>
      <c r="C148" s="16"/>
      <c r="D148" s="16"/>
      <c r="E148" s="16" t="s">
        <v>47</v>
      </c>
      <c r="F148" s="15" t="s">
        <v>50</v>
      </c>
      <c r="G148" s="15"/>
      <c r="H148" s="15">
        <v>6</v>
      </c>
      <c r="I148" s="4">
        <f>$G$142*H148</f>
        <v>6</v>
      </c>
      <c r="J148" s="47">
        <f>I148</f>
        <v>6</v>
      </c>
    </row>
    <row r="149" spans="1:10" ht="17.25" x14ac:dyDescent="0.25">
      <c r="A149" s="40" t="s">
        <v>248</v>
      </c>
      <c r="B149" s="31"/>
      <c r="C149" s="8"/>
      <c r="D149" s="8" t="s">
        <v>257</v>
      </c>
      <c r="E149" s="8"/>
      <c r="F149" s="9"/>
      <c r="G149" s="9">
        <v>2</v>
      </c>
      <c r="H149" s="7"/>
      <c r="I149" s="7"/>
      <c r="J149" s="48"/>
    </row>
    <row r="150" spans="1:10" ht="17.25" x14ac:dyDescent="0.25">
      <c r="A150" s="10"/>
      <c r="B150" s="28" t="s">
        <v>249</v>
      </c>
      <c r="C150" s="5"/>
      <c r="D150" s="5"/>
      <c r="E150" s="5" t="s">
        <v>199</v>
      </c>
      <c r="F150" s="4" t="s">
        <v>199</v>
      </c>
      <c r="G150" s="4"/>
      <c r="H150" s="4">
        <v>1</v>
      </c>
      <c r="I150" s="4">
        <f>$G$149*H150</f>
        <v>2</v>
      </c>
      <c r="J150" s="47">
        <f>I150</f>
        <v>2</v>
      </c>
    </row>
    <row r="151" spans="1:10" ht="17.25" x14ac:dyDescent="0.25">
      <c r="A151" s="10"/>
      <c r="B151" s="28" t="s">
        <v>250</v>
      </c>
      <c r="C151" s="5"/>
      <c r="D151" s="5"/>
      <c r="E151" s="5" t="s">
        <v>37</v>
      </c>
      <c r="F151" s="4" t="s">
        <v>91</v>
      </c>
      <c r="G151" s="4"/>
      <c r="H151" s="4">
        <v>1</v>
      </c>
      <c r="I151" s="4">
        <f>$G$149*H151</f>
        <v>2</v>
      </c>
      <c r="J151" s="47">
        <f>I151</f>
        <v>2</v>
      </c>
    </row>
    <row r="152" spans="1:10" ht="17.25" x14ac:dyDescent="0.25">
      <c r="A152" s="10"/>
      <c r="B152" s="28" t="s">
        <v>251</v>
      </c>
      <c r="C152" s="5"/>
      <c r="D152" s="5"/>
      <c r="E152" s="5" t="s">
        <v>34</v>
      </c>
      <c r="F152" s="4" t="s">
        <v>5</v>
      </c>
      <c r="G152" s="4"/>
      <c r="H152" s="4">
        <v>1</v>
      </c>
      <c r="I152" s="4">
        <f>$G$149*H152</f>
        <v>2</v>
      </c>
      <c r="J152" s="47">
        <f>I152</f>
        <v>2</v>
      </c>
    </row>
    <row r="153" spans="1:10" ht="17.25" x14ac:dyDescent="0.25">
      <c r="A153" s="10"/>
      <c r="B153" s="28" t="s">
        <v>252</v>
      </c>
      <c r="C153" s="5"/>
      <c r="D153" s="5"/>
      <c r="E153" s="5" t="s">
        <v>153</v>
      </c>
      <c r="F153" s="4" t="s">
        <v>89</v>
      </c>
      <c r="G153" s="4"/>
      <c r="H153" s="4">
        <v>1</v>
      </c>
      <c r="I153" s="4">
        <f>$G$149*H153</f>
        <v>2</v>
      </c>
      <c r="J153" s="47">
        <f>I153</f>
        <v>2</v>
      </c>
    </row>
    <row r="154" spans="1:10" ht="17.25" x14ac:dyDescent="0.25">
      <c r="A154" s="10"/>
      <c r="B154" s="28" t="s">
        <v>253</v>
      </c>
      <c r="C154" s="5"/>
      <c r="D154" s="5"/>
      <c r="E154" s="5" t="s">
        <v>48</v>
      </c>
      <c r="F154" s="4" t="s">
        <v>19</v>
      </c>
      <c r="G154" s="4"/>
      <c r="H154" s="4">
        <v>1</v>
      </c>
      <c r="I154" s="4">
        <f t="shared" ref="I151:I157" si="12">$G$149*H154</f>
        <v>2</v>
      </c>
      <c r="J154" s="47">
        <f t="shared" ref="J151:J157" si="13">I154</f>
        <v>2</v>
      </c>
    </row>
    <row r="155" spans="1:10" ht="17.25" x14ac:dyDescent="0.25">
      <c r="A155" s="10"/>
      <c r="B155" s="28" t="s">
        <v>254</v>
      </c>
      <c r="C155" s="5"/>
      <c r="D155" s="5"/>
      <c r="E155" s="5" t="s">
        <v>39</v>
      </c>
      <c r="F155" s="4" t="s">
        <v>39</v>
      </c>
      <c r="G155" s="4"/>
      <c r="H155" s="4">
        <v>1</v>
      </c>
      <c r="I155" s="4">
        <f t="shared" si="12"/>
        <v>2</v>
      </c>
      <c r="J155" s="47">
        <f t="shared" si="13"/>
        <v>2</v>
      </c>
    </row>
    <row r="156" spans="1:10" ht="17.25" x14ac:dyDescent="0.25">
      <c r="A156" s="10"/>
      <c r="B156" s="28" t="s">
        <v>255</v>
      </c>
      <c r="C156" s="5"/>
      <c r="D156" s="5"/>
      <c r="E156" s="5" t="s">
        <v>258</v>
      </c>
      <c r="F156" s="4" t="s">
        <v>258</v>
      </c>
      <c r="G156" s="4"/>
      <c r="H156" s="4">
        <v>1</v>
      </c>
      <c r="I156" s="4">
        <f t="shared" si="12"/>
        <v>2</v>
      </c>
      <c r="J156" s="47">
        <f t="shared" si="13"/>
        <v>2</v>
      </c>
    </row>
    <row r="157" spans="1:10" ht="18" thickBot="1" x14ac:dyDescent="0.3">
      <c r="A157" s="11"/>
      <c r="B157" s="36" t="s">
        <v>256</v>
      </c>
      <c r="C157" s="13"/>
      <c r="D157" s="13"/>
      <c r="E157" s="13" t="s">
        <v>172</v>
      </c>
      <c r="F157" s="12" t="s">
        <v>172</v>
      </c>
      <c r="G157" s="12"/>
      <c r="H157" s="12">
        <v>1</v>
      </c>
      <c r="I157" s="4">
        <f t="shared" si="12"/>
        <v>2</v>
      </c>
      <c r="J157" s="47">
        <f t="shared" si="13"/>
        <v>2</v>
      </c>
    </row>
    <row r="158" spans="1:10" ht="17.25" x14ac:dyDescent="0.25">
      <c r="A158" s="40" t="s">
        <v>259</v>
      </c>
      <c r="B158" s="31"/>
      <c r="C158" s="8"/>
      <c r="D158" s="8" t="s">
        <v>267</v>
      </c>
      <c r="E158" s="8"/>
      <c r="F158" s="9"/>
      <c r="G158" s="9">
        <v>2</v>
      </c>
      <c r="H158" s="7"/>
      <c r="I158" s="7"/>
      <c r="J158" s="48"/>
    </row>
    <row r="159" spans="1:10" ht="17.25" x14ac:dyDescent="0.25">
      <c r="A159" s="10"/>
      <c r="B159" s="28" t="s">
        <v>260</v>
      </c>
      <c r="C159" s="5"/>
      <c r="D159" s="5"/>
      <c r="E159" s="5" t="s">
        <v>199</v>
      </c>
      <c r="F159" s="4" t="s">
        <v>199</v>
      </c>
      <c r="G159" s="4"/>
      <c r="H159" s="4">
        <v>1</v>
      </c>
      <c r="I159" s="4">
        <f>$G$158*H159</f>
        <v>2</v>
      </c>
      <c r="J159" s="47">
        <f>I159</f>
        <v>2</v>
      </c>
    </row>
    <row r="160" spans="1:10" ht="17.25" x14ac:dyDescent="0.25">
      <c r="A160" s="10"/>
      <c r="B160" s="28" t="s">
        <v>261</v>
      </c>
      <c r="C160" s="5"/>
      <c r="D160" s="5"/>
      <c r="E160" s="5" t="s">
        <v>37</v>
      </c>
      <c r="F160" s="4" t="s">
        <v>91</v>
      </c>
      <c r="G160" s="4"/>
      <c r="H160" s="4">
        <v>1</v>
      </c>
      <c r="I160" s="4">
        <f t="shared" ref="I160:I165" si="14">$G$158*H160</f>
        <v>2</v>
      </c>
      <c r="J160" s="47">
        <f t="shared" ref="J160:J165" si="15">I160</f>
        <v>2</v>
      </c>
    </row>
    <row r="161" spans="1:10" ht="17.25" x14ac:dyDescent="0.25">
      <c r="A161" s="10"/>
      <c r="B161" s="28" t="s">
        <v>262</v>
      </c>
      <c r="C161" s="5"/>
      <c r="D161" s="5"/>
      <c r="E161" s="5" t="s">
        <v>34</v>
      </c>
      <c r="F161" s="4" t="s">
        <v>5</v>
      </c>
      <c r="G161" s="4"/>
      <c r="H161" s="4">
        <v>1</v>
      </c>
      <c r="I161" s="4">
        <f t="shared" si="14"/>
        <v>2</v>
      </c>
      <c r="J161" s="47">
        <f t="shared" si="15"/>
        <v>2</v>
      </c>
    </row>
    <row r="162" spans="1:10" ht="17.25" x14ac:dyDescent="0.25">
      <c r="A162" s="10"/>
      <c r="B162" s="28" t="s">
        <v>263</v>
      </c>
      <c r="C162" s="5"/>
      <c r="D162" s="5"/>
      <c r="E162" s="5" t="s">
        <v>268</v>
      </c>
      <c r="F162" s="4" t="s">
        <v>26</v>
      </c>
      <c r="G162" s="4"/>
      <c r="H162" s="4">
        <v>1</v>
      </c>
      <c r="I162" s="4">
        <f t="shared" si="14"/>
        <v>2</v>
      </c>
      <c r="J162" s="47">
        <f t="shared" si="15"/>
        <v>2</v>
      </c>
    </row>
    <row r="163" spans="1:10" ht="17.25" x14ac:dyDescent="0.25">
      <c r="A163" s="10"/>
      <c r="B163" s="28" t="s">
        <v>264</v>
      </c>
      <c r="C163" s="5"/>
      <c r="D163" s="5"/>
      <c r="E163" s="5" t="s">
        <v>39</v>
      </c>
      <c r="F163" s="4" t="s">
        <v>39</v>
      </c>
      <c r="G163" s="4"/>
      <c r="H163" s="4">
        <v>1</v>
      </c>
      <c r="I163" s="4">
        <f t="shared" si="14"/>
        <v>2</v>
      </c>
      <c r="J163" s="47">
        <f t="shared" si="15"/>
        <v>2</v>
      </c>
    </row>
    <row r="164" spans="1:10" ht="17.25" x14ac:dyDescent="0.25">
      <c r="A164" s="10"/>
      <c r="B164" s="28" t="s">
        <v>265</v>
      </c>
      <c r="C164" s="5"/>
      <c r="D164" s="5"/>
      <c r="E164" s="5" t="s">
        <v>258</v>
      </c>
      <c r="F164" s="4" t="s">
        <v>258</v>
      </c>
      <c r="G164" s="4"/>
      <c r="H164" s="4">
        <v>2</v>
      </c>
      <c r="I164" s="4">
        <f t="shared" si="14"/>
        <v>4</v>
      </c>
      <c r="J164" s="47">
        <f t="shared" si="15"/>
        <v>4</v>
      </c>
    </row>
    <row r="165" spans="1:10" ht="18" thickBot="1" x14ac:dyDescent="0.3">
      <c r="A165" s="11"/>
      <c r="B165" s="36" t="s">
        <v>266</v>
      </c>
      <c r="C165" s="13"/>
      <c r="D165" s="13"/>
      <c r="E165" s="13" t="s">
        <v>172</v>
      </c>
      <c r="F165" s="12" t="s">
        <v>172</v>
      </c>
      <c r="G165" s="12"/>
      <c r="H165" s="12">
        <v>1</v>
      </c>
      <c r="I165" s="12">
        <f t="shared" si="14"/>
        <v>2</v>
      </c>
      <c r="J165" s="50">
        <f t="shared" si="15"/>
        <v>2</v>
      </c>
    </row>
  </sheetData>
  <autoFilter ref="A1:J165"/>
  <customSheetViews>
    <customSheetView guid="{B361D788-4C34-4790-98D2-E12D78BAE772}" hiddenColumns="1">
      <pane ySplit="1" topLeftCell="A2" activePane="bottomLeft" state="frozen"/>
      <selection pane="bottomLeft" activeCell="K13" sqref="K13"/>
      <pageMargins left="0.7" right="0.7" top="0.75" bottom="0.75" header="0.3" footer="0.3"/>
      <pageSetup orientation="portrait" horizontalDpi="0" verticalDpi="0" r:id="rId1"/>
    </customSheetView>
    <customSheetView guid="{E84B877F-0E0B-494B-BD18-0D2BBF7D5FA6}"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80"/>
  <sheetViews>
    <sheetView topLeftCell="A3" workbookViewId="0">
      <selection activeCell="G17" sqref="G17"/>
    </sheetView>
  </sheetViews>
  <sheetFormatPr defaultRowHeight="15" x14ac:dyDescent="0.25"/>
  <cols>
    <col min="1" max="1" width="2.28515625" customWidth="1"/>
    <col min="2" max="2" width="32.5703125" customWidth="1"/>
    <col min="3" max="3" width="14.7109375" customWidth="1"/>
    <col min="4" max="4" width="19.7109375" bestFit="1" customWidth="1"/>
    <col min="5" max="5" width="21.140625" bestFit="1" customWidth="1"/>
    <col min="6" max="6" width="9.5703125" bestFit="1" customWidth="1"/>
    <col min="7" max="7" width="20" bestFit="1" customWidth="1"/>
    <col min="8" max="8" width="19.5703125" bestFit="1" customWidth="1"/>
    <col min="9" max="9" width="27.7109375" bestFit="1" customWidth="1"/>
    <col min="10" max="10" width="36.85546875" bestFit="1" customWidth="1"/>
    <col min="11" max="12" width="35.7109375" bestFit="1" customWidth="1"/>
    <col min="13" max="13" width="34.7109375" bestFit="1" customWidth="1"/>
    <col min="14" max="14" width="26.140625" bestFit="1" customWidth="1"/>
    <col min="15" max="15" width="18.42578125" bestFit="1" customWidth="1"/>
    <col min="16" max="16" width="23.28515625" bestFit="1" customWidth="1"/>
    <col min="17" max="17" width="20.140625" bestFit="1" customWidth="1"/>
    <col min="18" max="18" width="20.28515625" bestFit="1" customWidth="1"/>
    <col min="19" max="19" width="36.5703125" bestFit="1" customWidth="1"/>
    <col min="20" max="20" width="25.28515625" bestFit="1" customWidth="1"/>
    <col min="21" max="21" width="20.42578125" bestFit="1" customWidth="1"/>
    <col min="22" max="22" width="13.85546875" bestFit="1" customWidth="1"/>
    <col min="23" max="23" width="14.140625" bestFit="1" customWidth="1"/>
    <col min="24" max="28" width="24.28515625" bestFit="1" customWidth="1"/>
    <col min="29" max="29" width="23.28515625" bestFit="1" customWidth="1"/>
    <col min="30" max="30" width="26.5703125" bestFit="1" customWidth="1"/>
    <col min="31" max="31" width="11.42578125" bestFit="1" customWidth="1"/>
    <col min="32" max="32" width="23.5703125" bestFit="1" customWidth="1"/>
    <col min="33" max="34" width="32.28515625" bestFit="1" customWidth="1"/>
    <col min="35" max="35" width="26" bestFit="1" customWidth="1"/>
    <col min="36" max="36" width="20.42578125" bestFit="1" customWidth="1"/>
    <col min="37" max="37" width="32.85546875" bestFit="1" customWidth="1"/>
    <col min="38" max="38" width="23.5703125" bestFit="1" customWidth="1"/>
    <col min="39" max="39" width="38.140625" bestFit="1" customWidth="1"/>
    <col min="40" max="40" width="39" bestFit="1" customWidth="1"/>
    <col min="41" max="41" width="33.28515625" bestFit="1" customWidth="1"/>
    <col min="42" max="42" width="24.42578125" bestFit="1" customWidth="1"/>
    <col min="43" max="43" width="25.5703125" bestFit="1" customWidth="1"/>
    <col min="44" max="44" width="22.5703125" bestFit="1" customWidth="1"/>
    <col min="45" max="45" width="23.5703125" bestFit="1" customWidth="1"/>
    <col min="46" max="46" width="11.5703125" bestFit="1" customWidth="1"/>
    <col min="47" max="47" width="15.28515625" bestFit="1" customWidth="1"/>
    <col min="48" max="48" width="37" bestFit="1" customWidth="1"/>
    <col min="49" max="49" width="22.5703125" bestFit="1" customWidth="1"/>
    <col min="50" max="50" width="8" customWidth="1"/>
    <col min="51" max="56" width="15.85546875" bestFit="1" customWidth="1"/>
    <col min="57" max="57" width="7.28515625" customWidth="1"/>
    <col min="58" max="58" width="11.28515625" bestFit="1" customWidth="1"/>
  </cols>
  <sheetData>
    <row r="1" spans="2:3" hidden="1" x14ac:dyDescent="0.25"/>
    <row r="2" spans="2:3" hidden="1" x14ac:dyDescent="0.25">
      <c r="B2" s="51" t="s">
        <v>1</v>
      </c>
      <c r="C2" t="s">
        <v>280</v>
      </c>
    </row>
    <row r="3" spans="2:3" ht="8.25" customHeight="1" x14ac:dyDescent="0.25"/>
    <row r="4" spans="2:3" x14ac:dyDescent="0.25">
      <c r="B4" s="51" t="s">
        <v>283</v>
      </c>
      <c r="C4" t="s">
        <v>281</v>
      </c>
    </row>
    <row r="5" spans="2:3" x14ac:dyDescent="0.25">
      <c r="B5" s="1" t="s">
        <v>108</v>
      </c>
      <c r="C5" s="52">
        <v>1</v>
      </c>
    </row>
    <row r="6" spans="2:3" x14ac:dyDescent="0.25">
      <c r="B6" s="1" t="s">
        <v>270</v>
      </c>
      <c r="C6" s="52">
        <v>1</v>
      </c>
    </row>
    <row r="7" spans="2:3" x14ac:dyDescent="0.25">
      <c r="B7" s="1" t="s">
        <v>104</v>
      </c>
      <c r="C7" s="52">
        <v>1</v>
      </c>
    </row>
    <row r="8" spans="2:3" x14ac:dyDescent="0.25">
      <c r="B8" s="1" t="s">
        <v>36</v>
      </c>
      <c r="C8" s="52">
        <v>2</v>
      </c>
    </row>
    <row r="9" spans="2:3" x14ac:dyDescent="0.25">
      <c r="B9" s="1" t="s">
        <v>225</v>
      </c>
      <c r="C9" s="52">
        <v>1</v>
      </c>
    </row>
    <row r="10" spans="2:3" x14ac:dyDescent="0.25">
      <c r="B10" s="1" t="s">
        <v>153</v>
      </c>
      <c r="C10" s="52">
        <v>12</v>
      </c>
    </row>
    <row r="11" spans="2:3" x14ac:dyDescent="0.25">
      <c r="B11" s="1" t="s">
        <v>282</v>
      </c>
      <c r="C11" s="52">
        <v>1</v>
      </c>
    </row>
    <row r="12" spans="2:3" x14ac:dyDescent="0.25">
      <c r="B12" s="1" t="s">
        <v>218</v>
      </c>
      <c r="C12" s="52">
        <v>1</v>
      </c>
    </row>
    <row r="13" spans="2:3" x14ac:dyDescent="0.25">
      <c r="B13" s="1" t="s">
        <v>146</v>
      </c>
      <c r="C13" s="52">
        <v>4</v>
      </c>
    </row>
    <row r="14" spans="2:3" x14ac:dyDescent="0.25">
      <c r="B14" s="1" t="s">
        <v>100</v>
      </c>
      <c r="C14" s="52">
        <v>1</v>
      </c>
    </row>
    <row r="15" spans="2:3" x14ac:dyDescent="0.25">
      <c r="B15" s="1" t="s">
        <v>99</v>
      </c>
      <c r="C15" s="52">
        <v>1</v>
      </c>
    </row>
    <row r="16" spans="2:3" x14ac:dyDescent="0.25">
      <c r="B16" s="1" t="s">
        <v>106</v>
      </c>
      <c r="C16" s="52">
        <v>1</v>
      </c>
    </row>
    <row r="17" spans="2:3" x14ac:dyDescent="0.25">
      <c r="B17" s="1" t="s">
        <v>199</v>
      </c>
      <c r="C17" s="52">
        <v>8</v>
      </c>
    </row>
    <row r="18" spans="2:3" x14ac:dyDescent="0.25">
      <c r="B18" s="1" t="s">
        <v>57</v>
      </c>
      <c r="C18" s="52">
        <v>4</v>
      </c>
    </row>
    <row r="19" spans="2:3" x14ac:dyDescent="0.25">
      <c r="B19" s="1" t="s">
        <v>96</v>
      </c>
      <c r="C19" s="52">
        <v>2</v>
      </c>
    </row>
    <row r="20" spans="2:3" x14ac:dyDescent="0.25">
      <c r="B20" s="1" t="s">
        <v>105</v>
      </c>
      <c r="C20" s="52">
        <v>1</v>
      </c>
    </row>
    <row r="21" spans="2:3" x14ac:dyDescent="0.25">
      <c r="B21" s="1" t="s">
        <v>144</v>
      </c>
      <c r="C21" s="52">
        <v>5</v>
      </c>
    </row>
    <row r="22" spans="2:3" x14ac:dyDescent="0.25">
      <c r="B22" s="1" t="s">
        <v>206</v>
      </c>
      <c r="C22" s="52">
        <v>1</v>
      </c>
    </row>
    <row r="23" spans="2:3" x14ac:dyDescent="0.25">
      <c r="B23" s="1" t="s">
        <v>51</v>
      </c>
      <c r="C23" s="52">
        <v>2</v>
      </c>
    </row>
    <row r="24" spans="2:3" x14ac:dyDescent="0.25">
      <c r="B24" s="1" t="s">
        <v>221</v>
      </c>
      <c r="C24" s="52">
        <v>1</v>
      </c>
    </row>
    <row r="25" spans="2:3" x14ac:dyDescent="0.25">
      <c r="B25" s="1" t="s">
        <v>247</v>
      </c>
      <c r="C25" s="52">
        <v>1</v>
      </c>
    </row>
    <row r="26" spans="2:3" x14ac:dyDescent="0.25">
      <c r="B26" s="1" t="s">
        <v>271</v>
      </c>
      <c r="C26" s="52">
        <v>1</v>
      </c>
    </row>
    <row r="27" spans="2:3" x14ac:dyDescent="0.25">
      <c r="B27" s="1" t="s">
        <v>272</v>
      </c>
      <c r="C27" s="52">
        <v>1</v>
      </c>
    </row>
    <row r="28" spans="2:3" x14ac:dyDescent="0.25">
      <c r="B28" s="1" t="s">
        <v>94</v>
      </c>
      <c r="C28" s="52">
        <v>2</v>
      </c>
    </row>
    <row r="29" spans="2:3" x14ac:dyDescent="0.25">
      <c r="B29" s="1" t="s">
        <v>220</v>
      </c>
      <c r="C29" s="52">
        <v>1</v>
      </c>
    </row>
    <row r="30" spans="2:3" x14ac:dyDescent="0.25">
      <c r="B30" s="1" t="s">
        <v>219</v>
      </c>
      <c r="C30" s="52">
        <v>1</v>
      </c>
    </row>
    <row r="31" spans="2:3" x14ac:dyDescent="0.25">
      <c r="B31" s="1" t="s">
        <v>143</v>
      </c>
      <c r="C31" s="52">
        <v>1</v>
      </c>
    </row>
    <row r="32" spans="2:3" x14ac:dyDescent="0.25">
      <c r="B32" s="1" t="s">
        <v>107</v>
      </c>
      <c r="C32" s="52">
        <v>1</v>
      </c>
    </row>
    <row r="33" spans="2:3" x14ac:dyDescent="0.25">
      <c r="B33" s="1" t="s">
        <v>103</v>
      </c>
      <c r="C33" s="52">
        <v>1</v>
      </c>
    </row>
    <row r="34" spans="2:3" x14ac:dyDescent="0.25">
      <c r="B34" s="1" t="s">
        <v>95</v>
      </c>
      <c r="C34" s="52">
        <v>1</v>
      </c>
    </row>
    <row r="35" spans="2:3" x14ac:dyDescent="0.25">
      <c r="B35" s="1" t="s">
        <v>273</v>
      </c>
      <c r="C35" s="52">
        <v>1</v>
      </c>
    </row>
    <row r="36" spans="2:3" x14ac:dyDescent="0.25">
      <c r="B36" s="1" t="s">
        <v>274</v>
      </c>
      <c r="C36" s="52">
        <v>2</v>
      </c>
    </row>
    <row r="37" spans="2:3" x14ac:dyDescent="0.25">
      <c r="B37" s="1" t="s">
        <v>86</v>
      </c>
      <c r="C37" s="52">
        <v>4</v>
      </c>
    </row>
    <row r="38" spans="2:3" x14ac:dyDescent="0.25">
      <c r="B38" s="1" t="s">
        <v>149</v>
      </c>
      <c r="C38" s="52">
        <v>4</v>
      </c>
    </row>
    <row r="39" spans="2:3" x14ac:dyDescent="0.25">
      <c r="B39" s="1" t="s">
        <v>111</v>
      </c>
      <c r="C39" s="52">
        <v>14</v>
      </c>
    </row>
    <row r="40" spans="2:3" x14ac:dyDescent="0.25">
      <c r="B40" s="1" t="s">
        <v>112</v>
      </c>
      <c r="C40" s="52">
        <v>9</v>
      </c>
    </row>
    <row r="41" spans="2:3" x14ac:dyDescent="0.25">
      <c r="B41" s="1" t="s">
        <v>148</v>
      </c>
      <c r="C41" s="52">
        <v>4</v>
      </c>
    </row>
    <row r="42" spans="2:3" x14ac:dyDescent="0.25">
      <c r="B42" s="1" t="s">
        <v>102</v>
      </c>
      <c r="C42" s="52">
        <v>6</v>
      </c>
    </row>
    <row r="43" spans="2:3" x14ac:dyDescent="0.25">
      <c r="B43" s="1" t="s">
        <v>35</v>
      </c>
      <c r="C43" s="52">
        <v>21</v>
      </c>
    </row>
    <row r="44" spans="2:3" x14ac:dyDescent="0.25">
      <c r="B44" s="1" t="s">
        <v>47</v>
      </c>
      <c r="C44" s="52">
        <v>28</v>
      </c>
    </row>
    <row r="45" spans="2:3" x14ac:dyDescent="0.25">
      <c r="B45" s="1" t="s">
        <v>204</v>
      </c>
      <c r="C45" s="52">
        <v>6</v>
      </c>
    </row>
    <row r="46" spans="2:3" x14ac:dyDescent="0.25">
      <c r="B46" s="1" t="s">
        <v>173</v>
      </c>
      <c r="C46" s="52">
        <v>1</v>
      </c>
    </row>
    <row r="47" spans="2:3" x14ac:dyDescent="0.25">
      <c r="B47" s="1" t="s">
        <v>54</v>
      </c>
      <c r="C47" s="52">
        <v>1</v>
      </c>
    </row>
    <row r="48" spans="2:3" x14ac:dyDescent="0.25">
      <c r="B48" s="1" t="s">
        <v>33</v>
      </c>
      <c r="C48" s="52">
        <v>28</v>
      </c>
    </row>
    <row r="49" spans="2:3" x14ac:dyDescent="0.25">
      <c r="B49" s="1" t="s">
        <v>32</v>
      </c>
      <c r="C49" s="52">
        <v>12</v>
      </c>
    </row>
    <row r="50" spans="2:3" x14ac:dyDescent="0.25">
      <c r="B50" s="1" t="s">
        <v>48</v>
      </c>
      <c r="C50" s="52">
        <v>7</v>
      </c>
    </row>
    <row r="51" spans="2:3" x14ac:dyDescent="0.25">
      <c r="B51" s="1" t="s">
        <v>268</v>
      </c>
      <c r="C51" s="52">
        <v>2</v>
      </c>
    </row>
    <row r="52" spans="2:3" x14ac:dyDescent="0.25">
      <c r="B52" s="1" t="s">
        <v>34</v>
      </c>
      <c r="C52" s="52">
        <v>86</v>
      </c>
    </row>
    <row r="53" spans="2:3" x14ac:dyDescent="0.25">
      <c r="B53" s="1" t="s">
        <v>275</v>
      </c>
      <c r="C53" s="52">
        <v>1</v>
      </c>
    </row>
    <row r="54" spans="2:3" x14ac:dyDescent="0.25">
      <c r="B54" s="1" t="s">
        <v>150</v>
      </c>
      <c r="C54" s="52">
        <v>4</v>
      </c>
    </row>
    <row r="55" spans="2:3" x14ac:dyDescent="0.25">
      <c r="B55" s="1" t="s">
        <v>276</v>
      </c>
      <c r="C55" s="52">
        <v>6</v>
      </c>
    </row>
    <row r="56" spans="2:3" x14ac:dyDescent="0.25">
      <c r="B56" s="1" t="s">
        <v>277</v>
      </c>
      <c r="C56" s="52">
        <v>1</v>
      </c>
    </row>
    <row r="57" spans="2:3" x14ac:dyDescent="0.25">
      <c r="B57" s="1" t="s">
        <v>92</v>
      </c>
      <c r="C57" s="52">
        <v>11</v>
      </c>
    </row>
    <row r="58" spans="2:3" x14ac:dyDescent="0.25">
      <c r="B58" s="1" t="s">
        <v>110</v>
      </c>
      <c r="C58" s="52">
        <v>1</v>
      </c>
    </row>
    <row r="59" spans="2:3" x14ac:dyDescent="0.25">
      <c r="B59" s="1" t="s">
        <v>203</v>
      </c>
      <c r="C59" s="52">
        <v>2</v>
      </c>
    </row>
    <row r="60" spans="2:3" x14ac:dyDescent="0.25">
      <c r="B60" s="1" t="s">
        <v>118</v>
      </c>
      <c r="C60" s="52">
        <v>1</v>
      </c>
    </row>
    <row r="61" spans="2:3" x14ac:dyDescent="0.25">
      <c r="B61" s="1" t="s">
        <v>85</v>
      </c>
      <c r="C61" s="52">
        <v>2</v>
      </c>
    </row>
    <row r="62" spans="2:3" x14ac:dyDescent="0.25">
      <c r="B62" s="1" t="s">
        <v>37</v>
      </c>
      <c r="C62" s="52">
        <v>8</v>
      </c>
    </row>
    <row r="63" spans="2:3" x14ac:dyDescent="0.25">
      <c r="B63" s="1" t="s">
        <v>31</v>
      </c>
      <c r="C63" s="52">
        <v>11</v>
      </c>
    </row>
    <row r="64" spans="2:3" x14ac:dyDescent="0.25">
      <c r="B64" s="1" t="s">
        <v>39</v>
      </c>
      <c r="C64" s="52">
        <v>91</v>
      </c>
    </row>
    <row r="65" spans="2:3" x14ac:dyDescent="0.25">
      <c r="B65" s="1" t="s">
        <v>56</v>
      </c>
      <c r="C65" s="52">
        <v>2</v>
      </c>
    </row>
    <row r="66" spans="2:3" x14ac:dyDescent="0.25">
      <c r="B66" s="1" t="s">
        <v>60</v>
      </c>
      <c r="C66" s="52">
        <v>4</v>
      </c>
    </row>
    <row r="67" spans="2:3" x14ac:dyDescent="0.25">
      <c r="B67" s="1" t="s">
        <v>62</v>
      </c>
      <c r="C67" s="52">
        <v>2</v>
      </c>
    </row>
    <row r="68" spans="2:3" x14ac:dyDescent="0.25">
      <c r="B68" s="1" t="s">
        <v>61</v>
      </c>
      <c r="C68" s="52">
        <v>2</v>
      </c>
    </row>
    <row r="69" spans="2:3" x14ac:dyDescent="0.25">
      <c r="B69" s="1" t="s">
        <v>63</v>
      </c>
      <c r="C69" s="52">
        <v>2</v>
      </c>
    </row>
    <row r="70" spans="2:3" x14ac:dyDescent="0.25">
      <c r="B70" s="1" t="s">
        <v>88</v>
      </c>
      <c r="C70" s="52">
        <v>1</v>
      </c>
    </row>
    <row r="71" spans="2:3" x14ac:dyDescent="0.25">
      <c r="B71" s="1" t="s">
        <v>59</v>
      </c>
      <c r="C71" s="52">
        <v>2</v>
      </c>
    </row>
    <row r="72" spans="2:3" x14ac:dyDescent="0.25">
      <c r="B72" s="1" t="s">
        <v>58</v>
      </c>
      <c r="C72" s="52">
        <v>2</v>
      </c>
    </row>
    <row r="73" spans="2:3" x14ac:dyDescent="0.25">
      <c r="B73" s="1" t="s">
        <v>205</v>
      </c>
      <c r="C73" s="52">
        <v>1</v>
      </c>
    </row>
    <row r="74" spans="2:3" x14ac:dyDescent="0.25">
      <c r="B74" s="1" t="s">
        <v>142</v>
      </c>
      <c r="C74" s="52">
        <v>1</v>
      </c>
    </row>
    <row r="75" spans="2:3" x14ac:dyDescent="0.25">
      <c r="B75" s="1" t="s">
        <v>151</v>
      </c>
      <c r="C75" s="52">
        <v>1</v>
      </c>
    </row>
    <row r="76" spans="2:3" x14ac:dyDescent="0.25">
      <c r="B76" s="1" t="s">
        <v>193</v>
      </c>
      <c r="C76" s="52">
        <v>2</v>
      </c>
    </row>
    <row r="77" spans="2:3" x14ac:dyDescent="0.25">
      <c r="B77" s="1" t="s">
        <v>183</v>
      </c>
      <c r="C77" s="52">
        <v>1</v>
      </c>
    </row>
    <row r="78" spans="2:3" x14ac:dyDescent="0.25">
      <c r="B78" s="1" t="s">
        <v>55</v>
      </c>
      <c r="C78" s="52">
        <v>2</v>
      </c>
    </row>
    <row r="79" spans="2:3" x14ac:dyDescent="0.25">
      <c r="B79" s="1" t="s">
        <v>278</v>
      </c>
      <c r="C79" s="52"/>
    </row>
    <row r="80" spans="2:3" x14ac:dyDescent="0.25">
      <c r="B80" s="1" t="s">
        <v>279</v>
      </c>
      <c r="C80" s="52">
        <v>462</v>
      </c>
    </row>
  </sheetData>
  <customSheetViews>
    <customSheetView guid="{B361D788-4C34-4790-98D2-E12D78BAE772}">
      <selection activeCell="P6" sqref="P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BY SUBASMB</vt:lpstr>
      <vt:lpstr>SUM OF ASMB PIVOT 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eclsnowman</dc:creator>
  <cp:lastModifiedBy>Eric Lien</cp:lastModifiedBy>
  <dcterms:created xsi:type="dcterms:W3CDTF">2015-11-04T02:38:34Z</dcterms:created>
  <dcterms:modified xsi:type="dcterms:W3CDTF">2015-11-10T18:38:58Z</dcterms:modified>
</cp:coreProperties>
</file>